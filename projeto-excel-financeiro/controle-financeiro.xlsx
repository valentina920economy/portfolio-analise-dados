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len\OneDrive\Desktop\Pessoal\"/>
    </mc:Choice>
  </mc:AlternateContent>
  <xr:revisionPtr revIDLastSave="0" documentId="8_{D5B5D0B1-C50E-41CA-898E-D1A7765FADDA}" xr6:coauthVersionLast="47" xr6:coauthVersionMax="47" xr10:uidLastSave="{00000000-0000-0000-0000-000000000000}"/>
  <bookViews>
    <workbookView xWindow="3228" yWindow="0" windowWidth="17280" windowHeight="12336" tabRatio="500" firstSheet="9" activeTab="11" xr2:uid="{00000000-000D-0000-FFFF-FFFF00000000}"/>
  </bookViews>
  <sheets>
    <sheet name="Renda Julho" sheetId="1" r:id="rId1"/>
    <sheet name="Renda Agosto" sheetId="2" r:id="rId2"/>
    <sheet name="Renda Setembro" sheetId="3" r:id="rId3"/>
    <sheet name="Renda Outubro" sheetId="4" r:id="rId4"/>
    <sheet name="Renda Novembro" sheetId="5" r:id="rId5"/>
    <sheet name="Renda Dezembro" sheetId="6" r:id="rId6"/>
    <sheet name="Renda Janeiro" sheetId="7" r:id="rId7"/>
    <sheet name="Renda Fevereiro" sheetId="8" r:id="rId8"/>
    <sheet name="Renda Março" sheetId="9" r:id="rId9"/>
    <sheet name="Renda Abril" sheetId="10" r:id="rId10"/>
    <sheet name="Gastos diários" sheetId="11" r:id="rId11"/>
    <sheet name="Gastos totais" sheetId="12" r:id="rId12"/>
  </sheets>
  <definedNames>
    <definedName name="_xlnm._FilterDatabase" localSheetId="10" hidden="1">'Gastos diários'!$C$6:$F$10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2" l="1"/>
  <c r="F13" i="12"/>
  <c r="D13" i="12"/>
  <c r="D15" i="12" s="1"/>
  <c r="E12" i="12"/>
  <c r="G12" i="12" s="1"/>
  <c r="E11" i="12"/>
  <c r="G11" i="12" s="1"/>
  <c r="E10" i="12"/>
  <c r="G10" i="12" s="1"/>
  <c r="E9" i="12"/>
  <c r="G9" i="12" s="1"/>
  <c r="E8" i="12"/>
  <c r="D20" i="10"/>
  <c r="D9" i="10"/>
  <c r="D19" i="10" s="1"/>
  <c r="D21" i="10" s="1"/>
  <c r="D20" i="9"/>
  <c r="D19" i="9"/>
  <c r="D21" i="9" s="1"/>
  <c r="D9" i="9"/>
  <c r="D15" i="9" s="1"/>
  <c r="D20" i="8"/>
  <c r="D9" i="8"/>
  <c r="D19" i="8" s="1"/>
  <c r="D21" i="8" s="1"/>
  <c r="D20" i="6"/>
  <c r="D19" i="6"/>
  <c r="D21" i="6" s="1"/>
  <c r="D9" i="6"/>
  <c r="D15" i="6" s="1"/>
  <c r="D20" i="5"/>
  <c r="D9" i="5"/>
  <c r="D19" i="5" s="1"/>
  <c r="D21" i="5" s="1"/>
  <c r="D20" i="4"/>
  <c r="D19" i="4"/>
  <c r="D21" i="4" s="1"/>
  <c r="D9" i="4"/>
  <c r="D15" i="4" s="1"/>
  <c r="D20" i="3"/>
  <c r="D9" i="3"/>
  <c r="D19" i="3" s="1"/>
  <c r="D21" i="3" s="1"/>
  <c r="D20" i="2"/>
  <c r="D19" i="2"/>
  <c r="D21" i="2" s="1"/>
  <c r="D9" i="2"/>
  <c r="D15" i="2" s="1"/>
  <c r="D20" i="1"/>
  <c r="D16" i="1"/>
  <c r="D16" i="2" s="1"/>
  <c r="D16" i="3" s="1"/>
  <c r="D16" i="4" s="1"/>
  <c r="D16" i="5" s="1"/>
  <c r="D16" i="6" s="1"/>
  <c r="D16" i="7" s="1"/>
  <c r="D16" i="8" s="1"/>
  <c r="D16" i="9" s="1"/>
  <c r="D16" i="10" s="1"/>
  <c r="D9" i="1"/>
  <c r="D19" i="1" s="1"/>
  <c r="D21" i="1" s="1"/>
  <c r="D20" i="7"/>
  <c r="D19" i="7"/>
  <c r="D21" i="7" s="1"/>
  <c r="D9" i="7"/>
  <c r="D15" i="7" s="1"/>
  <c r="E13" i="12" l="1"/>
  <c r="E15" i="12" s="1"/>
  <c r="F10" i="12"/>
  <c r="D15" i="1"/>
  <c r="D15" i="5"/>
  <c r="D15" i="8"/>
  <c r="F11" i="12"/>
  <c r="F9" i="12"/>
  <c r="D15" i="3"/>
  <c r="D15" i="10"/>
  <c r="F8" i="12"/>
  <c r="F12" i="12"/>
  <c r="G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6" authorId="0" shapeId="0" xr:uid="{00000000-0006-0000-0000-000001000000}">
      <text>
        <r>
          <rPr>
            <sz val="10"/>
            <rFont val="Arial"/>
            <family val="2"/>
          </rPr>
          <t>O parcelamento da Divida 1 comeca em agosto (9 parcelas).
O R$1.320 pago em julho foi entrada/pagamento a parte e nao abate esta divida.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4" authorId="0" shapeId="0" xr:uid="{00000000-0006-0000-0900-000001000000}">
      <text>
        <r>
          <rPr>
            <sz val="10"/>
            <rFont val="Arial"/>
            <family val="2"/>
          </rPr>
          <t>Ultima parcela ajustada de R$1.329,19 para R$1.331,19 (+R$2,00) pra fechar o saldo exatamente em R$0,00.
Essa diferenca vem do arredondamento de centavos das 9 parcelas.</t>
        </r>
      </text>
    </comment>
  </commentList>
</comments>
</file>

<file path=xl/sharedStrings.xml><?xml version="1.0" encoding="utf-8"?>
<sst xmlns="http://schemas.openxmlformats.org/spreadsheetml/2006/main" count="206" uniqueCount="48">
  <si>
    <t>Controle Financeiro</t>
  </si>
  <si>
    <t>RENDA MENSAL</t>
  </si>
  <si>
    <t>Renda 1</t>
  </si>
  <si>
    <t>Renda 2</t>
  </si>
  <si>
    <t>Renda total mensal</t>
  </si>
  <si>
    <t>DÍVIDA 1</t>
  </si>
  <si>
    <t>DÍVIDA 2 - Loja Aurora</t>
  </si>
  <si>
    <t>DÍVIDA 3 - Loja Nimbus</t>
  </si>
  <si>
    <t>Valor total da dívida</t>
  </si>
  <si>
    <t>Nº de parcelas restantes</t>
  </si>
  <si>
    <t>Valor da parcela mensal</t>
  </si>
  <si>
    <t>% da renda comprometida</t>
  </si>
  <si>
    <t>Quanto ainda falta:</t>
  </si>
  <si>
    <t>DISPONÍVEL PARA GASTAR</t>
  </si>
  <si>
    <t>Renda total</t>
  </si>
  <si>
    <t>(-) Parcela da dívida</t>
  </si>
  <si>
    <t>Valor Disponível Mensal</t>
  </si>
  <si>
    <t>Valor parcela atual</t>
  </si>
  <si>
    <t>Última parcela!!!</t>
  </si>
  <si>
    <t>Controles mensais</t>
  </si>
  <si>
    <t>Mês</t>
  </si>
  <si>
    <t>Categoria</t>
  </si>
  <si>
    <t>Descrição</t>
  </si>
  <si>
    <t>Valor</t>
  </si>
  <si>
    <t>Alimentação</t>
  </si>
  <si>
    <t>Transporte</t>
  </si>
  <si>
    <t>Lazer</t>
  </si>
  <si>
    <t>Assinaturas</t>
  </si>
  <si>
    <t>Outros</t>
  </si>
  <si>
    <t>Gastos por Categoria</t>
  </si>
  <si>
    <t>Limite</t>
  </si>
  <si>
    <t>Gasto</t>
  </si>
  <si>
    <t>Sobra</t>
  </si>
  <si>
    <t>Status</t>
  </si>
  <si>
    <t>TOTAL</t>
  </si>
  <si>
    <t>Supermercado</t>
  </si>
  <si>
    <t>Combustível</t>
  </si>
  <si>
    <t>Cinema</t>
  </si>
  <si>
    <t>Streaming de vídeo</t>
  </si>
  <si>
    <t>Restaurante</t>
  </si>
  <si>
    <t xml:space="preserve">Farmácia </t>
  </si>
  <si>
    <t xml:space="preserve">Aplicativo de transporte </t>
  </si>
  <si>
    <t xml:space="preserve">Feira </t>
  </si>
  <si>
    <t xml:space="preserve">Show </t>
  </si>
  <si>
    <t>Disponível para gastar julho:</t>
  </si>
  <si>
    <t>Chaveiro</t>
  </si>
  <si>
    <t>Inteligência Artificial</t>
  </si>
  <si>
    <t>Valor para investimento: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</si>
</sst>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 &quot;#,##0.00;[Red]&quot;-R$ &quot;#,##0.00"/>
    <numFmt numFmtId="165" formatCode="0.0%"/>
    <numFmt numFmtId="166" formatCode="_-&quot;R$ &quot;* #,##0.00_-;&quot;-R$ &quot;* #,##0.00_-;_-&quot;R$ &quot;* \-??_-;_-@_-"/>
    <numFmt numFmtId="167" formatCode="#,##0.00;[Red]#,##0.00"/>
    <numFmt numFmtId="168" formatCode="m/d/yyyy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entury Gothic"/>
      <family val="2"/>
      <charset val="1"/>
    </font>
    <font>
      <b/>
      <sz val="16"/>
      <color theme="4" tint="0.39979247413556324"/>
      <name val="Century Gothic"/>
      <family val="2"/>
      <charset val="1"/>
    </font>
    <font>
      <i/>
      <sz val="10"/>
      <color rgb="FF595959"/>
      <name val="Century Gothic"/>
      <family val="2"/>
      <charset val="1"/>
    </font>
    <font>
      <b/>
      <sz val="12"/>
      <color rgb="FFFFFFFF"/>
      <name val="Century Gothic"/>
      <family val="2"/>
      <charset val="1"/>
    </font>
    <font>
      <sz val="11"/>
      <name val="Century Gothic"/>
      <family val="2"/>
      <charset val="1"/>
    </font>
    <font>
      <b/>
      <sz val="11"/>
      <color rgb="FFFF0000"/>
      <name val="Century Gothic"/>
      <family val="2"/>
      <charset val="1"/>
    </font>
    <font>
      <sz val="10"/>
      <name val="Century Gothic"/>
      <family val="2"/>
      <charset val="1"/>
    </font>
    <font>
      <sz val="11"/>
      <color rgb="FFFF0000"/>
      <name val="Century Gothic"/>
      <family val="2"/>
      <charset val="1"/>
    </font>
    <font>
      <sz val="11"/>
      <color rgb="FF0070C0"/>
      <name val="Century Gothic"/>
      <family val="2"/>
      <charset val="1"/>
    </font>
    <font>
      <sz val="11"/>
      <color rgb="FFC00000"/>
      <name val="Century Gothic"/>
      <family val="2"/>
      <charset val="1"/>
    </font>
    <font>
      <sz val="10"/>
      <name val="Arial"/>
      <family val="2"/>
    </font>
    <font>
      <sz val="10"/>
      <name val="Century Gothic"/>
      <charset val="1"/>
    </font>
    <font>
      <sz val="11"/>
      <color rgb="FF000000"/>
      <name val="Century Gothic"/>
      <family val="2"/>
      <charset val="1"/>
    </font>
    <font>
      <b/>
      <sz val="18"/>
      <color theme="5" tint="-0.249977111117893"/>
      <name val="Century Gothic"/>
      <family val="2"/>
      <charset val="1"/>
    </font>
    <font>
      <sz val="9"/>
      <name val="Century Gothic"/>
      <family val="2"/>
      <charset val="1"/>
    </font>
    <font>
      <b/>
      <sz val="11"/>
      <name val="Century Gothic"/>
      <family val="2"/>
      <charset val="1"/>
    </font>
    <font>
      <i/>
      <sz val="9"/>
      <color rgb="FFC00000"/>
      <name val="Century Gothic"/>
      <family val="2"/>
      <charset val="1"/>
    </font>
    <font>
      <b/>
      <sz val="16"/>
      <color theme="5"/>
      <name val="Century Gothic"/>
      <family val="2"/>
    </font>
    <font>
      <sz val="11"/>
      <color theme="1"/>
      <name val="Century Gothic"/>
      <family val="2"/>
    </font>
    <font>
      <sz val="10"/>
      <color rgb="FF595959"/>
      <name val="Century Gothic"/>
      <family val="2"/>
    </font>
    <font>
      <b/>
      <sz val="12"/>
      <color rgb="FFFFFFFF"/>
      <name val="Century Gothic"/>
      <family val="2"/>
    </font>
    <font>
      <b/>
      <sz val="12"/>
      <color theme="0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DFBF9"/>
        <bgColor rgb="FFFFFFFF"/>
      </patternFill>
    </fill>
    <fill>
      <patternFill patternType="solid">
        <fgColor theme="4" tint="0.39979247413556324"/>
        <bgColor rgb="FFE33D6F"/>
      </patternFill>
    </fill>
    <fill>
      <patternFill patternType="solid">
        <fgColor rgb="FF92D050"/>
        <bgColor rgb="FFA6A6A6"/>
      </patternFill>
    </fill>
    <fill>
      <patternFill patternType="solid">
        <fgColor rgb="FFFF0000"/>
        <bgColor rgb="FFC00000"/>
      </patternFill>
    </fill>
    <fill>
      <patternFill patternType="solid">
        <fgColor theme="9" tint="0.79979857783745845"/>
        <bgColor rgb="FFD9D9D9"/>
      </patternFill>
    </fill>
    <fill>
      <patternFill patternType="solid">
        <fgColor theme="5"/>
        <bgColor rgb="FFEF53A5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theme="0" tint="-0.34998626667073579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1" fillId="2" borderId="2" xfId="0" applyFont="1" applyFill="1" applyBorder="1"/>
    <xf numFmtId="164" fontId="5" fillId="2" borderId="2" xfId="0" applyNumberFormat="1" applyFont="1" applyFill="1" applyBorder="1"/>
    <xf numFmtId="1" fontId="5" fillId="2" borderId="2" xfId="0" applyNumberFormat="1" applyFont="1" applyFill="1" applyBorder="1"/>
    <xf numFmtId="0" fontId="1" fillId="2" borderId="3" xfId="0" applyFont="1" applyFill="1" applyBorder="1"/>
    <xf numFmtId="1" fontId="5" fillId="2" borderId="3" xfId="0" applyNumberFormat="1" applyFont="1" applyFill="1" applyBorder="1"/>
    <xf numFmtId="0" fontId="5" fillId="2" borderId="3" xfId="0" applyFont="1" applyFill="1" applyBorder="1"/>
    <xf numFmtId="164" fontId="5" fillId="4" borderId="4" xfId="0" applyNumberFormat="1" applyFont="1" applyFill="1" applyBorder="1"/>
    <xf numFmtId="164" fontId="5" fillId="5" borderId="2" xfId="0" applyNumberFormat="1" applyFont="1" applyFill="1" applyBorder="1"/>
    <xf numFmtId="0" fontId="1" fillId="2" borderId="4" xfId="0" applyFont="1" applyFill="1" applyBorder="1"/>
    <xf numFmtId="165" fontId="6" fillId="2" borderId="2" xfId="0" applyNumberFormat="1" applyFont="1" applyFill="1" applyBorder="1"/>
    <xf numFmtId="165" fontId="6" fillId="2" borderId="0" xfId="0" applyNumberFormat="1" applyFont="1" applyFill="1"/>
    <xf numFmtId="166" fontId="7" fillId="0" borderId="2" xfId="0" applyNumberFormat="1" applyFont="1" applyBorder="1"/>
    <xf numFmtId="167" fontId="1" fillId="2" borderId="0" xfId="0" applyNumberFormat="1" applyFont="1" applyFill="1"/>
    <xf numFmtId="164" fontId="1" fillId="2" borderId="2" xfId="0" applyNumberFormat="1" applyFont="1" applyFill="1" applyBorder="1"/>
    <xf numFmtId="164" fontId="8" fillId="2" borderId="2" xfId="0" applyNumberFormat="1" applyFont="1" applyFill="1" applyBorder="1"/>
    <xf numFmtId="164" fontId="9" fillId="2" borderId="2" xfId="0" applyNumberFormat="1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164" fontId="5" fillId="2" borderId="6" xfId="0" applyNumberFormat="1" applyFont="1" applyFill="1" applyBorder="1"/>
    <xf numFmtId="0" fontId="1" fillId="2" borderId="7" xfId="0" applyFont="1" applyFill="1" applyBorder="1"/>
    <xf numFmtId="1" fontId="5" fillId="2" borderId="6" xfId="0" applyNumberFormat="1" applyFont="1" applyFill="1" applyBorder="1"/>
    <xf numFmtId="164" fontId="5" fillId="5" borderId="6" xfId="0" applyNumberFormat="1" applyFont="1" applyFill="1" applyBorder="1"/>
    <xf numFmtId="165" fontId="6" fillId="2" borderId="6" xfId="0" applyNumberFormat="1" applyFont="1" applyFill="1" applyBorder="1"/>
    <xf numFmtId="166" fontId="7" fillId="0" borderId="6" xfId="0" applyNumberFormat="1" applyFont="1" applyBorder="1"/>
    <xf numFmtId="4" fontId="1" fillId="2" borderId="0" xfId="0" applyNumberFormat="1" applyFont="1" applyFill="1"/>
    <xf numFmtId="164" fontId="5" fillId="5" borderId="1" xfId="0" applyNumberFormat="1" applyFont="1" applyFill="1" applyBorder="1"/>
    <xf numFmtId="165" fontId="6" fillId="2" borderId="4" xfId="0" applyNumberFormat="1" applyFont="1" applyFill="1" applyBorder="1"/>
    <xf numFmtId="166" fontId="12" fillId="0" borderId="2" xfId="0" applyNumberFormat="1" applyFont="1" applyBorder="1"/>
    <xf numFmtId="1" fontId="5" fillId="6" borderId="2" xfId="0" applyNumberFormat="1" applyFont="1" applyFill="1" applyBorder="1"/>
    <xf numFmtId="0" fontId="5" fillId="2" borderId="0" xfId="0" applyFont="1" applyFill="1"/>
    <xf numFmtId="0" fontId="4" fillId="7" borderId="0" xfId="0" applyFont="1" applyFill="1" applyAlignment="1">
      <alignment horizontal="center" vertical="center"/>
    </xf>
    <xf numFmtId="0" fontId="13" fillId="2" borderId="2" xfId="0" applyFont="1" applyFill="1" applyBorder="1"/>
    <xf numFmtId="0" fontId="15" fillId="2" borderId="2" xfId="0" applyFont="1" applyFill="1" applyBorder="1"/>
    <xf numFmtId="0" fontId="16" fillId="2" borderId="2" xfId="0" applyFont="1" applyFill="1" applyBorder="1"/>
    <xf numFmtId="164" fontId="16" fillId="2" borderId="2" xfId="0" applyNumberFormat="1" applyFont="1" applyFill="1" applyBorder="1"/>
    <xf numFmtId="44" fontId="1" fillId="2" borderId="0" xfId="0" applyNumberFormat="1" applyFont="1" applyFill="1"/>
    <xf numFmtId="0" fontId="14" fillId="2" borderId="0" xfId="0" applyFont="1" applyFill="1"/>
    <xf numFmtId="0" fontId="17" fillId="2" borderId="0" xfId="0" applyFont="1" applyFill="1"/>
    <xf numFmtId="0" fontId="10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14" fontId="23" fillId="2" borderId="2" xfId="0" applyNumberFormat="1" applyFont="1" applyFill="1" applyBorder="1"/>
    <xf numFmtId="0" fontId="23" fillId="2" borderId="2" xfId="0" applyFont="1" applyFill="1" applyBorder="1"/>
    <xf numFmtId="0" fontId="24" fillId="2" borderId="1" xfId="0" applyFont="1" applyFill="1" applyBorder="1"/>
    <xf numFmtId="164" fontId="23" fillId="2" borderId="2" xfId="0" applyNumberFormat="1" applyFont="1" applyFill="1" applyBorder="1"/>
    <xf numFmtId="0" fontId="24" fillId="2" borderId="4" xfId="0" applyFont="1" applyFill="1" applyBorder="1"/>
    <xf numFmtId="0" fontId="23" fillId="2" borderId="1" xfId="0" applyFont="1" applyFill="1" applyBorder="1"/>
    <xf numFmtId="0" fontId="24" fillId="2" borderId="8" xfId="0" applyFont="1" applyFill="1" applyBorder="1"/>
    <xf numFmtId="168" fontId="23" fillId="2" borderId="2" xfId="0" applyNumberFormat="1" applyFont="1" applyFill="1" applyBorder="1"/>
    <xf numFmtId="0" fontId="24" fillId="2" borderId="2" xfId="0" applyFont="1" applyFill="1" applyBorder="1"/>
    <xf numFmtId="164" fontId="23" fillId="2" borderId="9" xfId="0" applyNumberFormat="1" applyFont="1" applyFill="1" applyBorder="1"/>
    <xf numFmtId="0" fontId="24" fillId="2" borderId="0" xfId="0" applyFont="1" applyFill="1"/>
    <xf numFmtId="164" fontId="1" fillId="2" borderId="0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B6BF2"/>
      <rgbColor rgb="FFBD1B4C"/>
      <rgbColor rgb="FFFDFBF9"/>
      <rgbColor rgb="FFF7D8F6"/>
      <rgbColor rgb="FF660066"/>
      <rgbColor rgb="FFEF53A5"/>
      <rgbColor rgb="FF0070C0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E9943A"/>
      <rgbColor rgb="FFE45F3C"/>
      <rgbColor rgb="FF595959"/>
      <rgbColor rgb="FFA6A6A6"/>
      <rgbColor rgb="FF003366"/>
      <rgbColor rgb="FF339966"/>
      <rgbColor rgb="FF003300"/>
      <rgbColor rgb="FF333300"/>
      <rgbColor rgb="FFE33D6F"/>
      <rgbColor rgb="FFB311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pt-BR" sz="1000" b="1" strike="noStrike" spc="-1">
                <a:solidFill>
                  <a:srgbClr val="595959"/>
                </a:solidFill>
                <a:latin typeface="Century Gothic"/>
              </a:rPr>
              <a:t>Valor gasto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'Gastos totais'!$E$7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E14-43AF-9BFF-E3312E3FB82E}"/>
              </c:ext>
            </c:extLst>
          </c:dPt>
          <c:dPt>
            <c:idx val="1"/>
            <c:bubble3D val="0"/>
            <c:spPr>
              <a:solidFill>
                <a:srgbClr val="E33D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E14-43AF-9BFF-E3312E3FB82E}"/>
              </c:ext>
            </c:extLst>
          </c:dPt>
          <c:dPt>
            <c:idx val="2"/>
            <c:bubble3D val="0"/>
            <c:spPr>
              <a:solidFill>
                <a:srgbClr val="E45F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E14-43AF-9BFF-E3312E3FB82E}"/>
              </c:ext>
            </c:extLst>
          </c:dPt>
          <c:dPt>
            <c:idx val="3"/>
            <c:bubble3D val="0"/>
            <c:spPr>
              <a:solidFill>
                <a:srgbClr val="E994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E14-43AF-9BFF-E3312E3FB82E}"/>
              </c:ext>
            </c:extLst>
          </c:dPt>
          <c:dPt>
            <c:idx val="4"/>
            <c:bubble3D val="0"/>
            <c:spPr>
              <a:solidFill>
                <a:srgbClr val="9B6BF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E14-43AF-9BFF-E3312E3FB8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FFFFFF"/>
                      </a:solidFill>
                      <a:latin typeface="Century Gothic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14-43AF-9BFF-E3312E3FB8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FFFFFF"/>
                      </a:solidFill>
                      <a:latin typeface="Century Gothic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14-43AF-9BFF-E3312E3FB8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FFFFFF"/>
                      </a:solidFill>
                      <a:latin typeface="Century Gothic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14-43AF-9BFF-E3312E3FB82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FFFFFF"/>
                      </a:solidFill>
                      <a:latin typeface="Century Gothic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14-43AF-9BFF-E3312E3FB82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FFFFFF"/>
                      </a:solidFill>
                      <a:latin typeface="Century Gothic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14-43AF-9BFF-E3312E3FB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FFFFFF"/>
                    </a:solidFill>
                    <a:latin typeface="Century Gothic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'Gastos totais'!$C$8:$C$12</c:f>
              <c:strCache>
                <c:ptCount val="5"/>
                <c:pt idx="0">
                  <c:v>Alimentação</c:v>
                </c:pt>
                <c:pt idx="1">
                  <c:v>Transporte</c:v>
                </c:pt>
                <c:pt idx="2">
                  <c:v>Assinaturas</c:v>
                </c:pt>
                <c:pt idx="3">
                  <c:v>Lazer</c:v>
                </c:pt>
                <c:pt idx="4">
                  <c:v>Outros</c:v>
                </c:pt>
              </c:strCache>
            </c:strRef>
          </c:cat>
          <c:val>
            <c:numRef>
              <c:f>'Gastos totais'!$E$8:$E$12</c:f>
              <c:numCache>
                <c:formatCode>"R$ "#,##0.00;[Red]"-R$ "#,##0.00</c:formatCode>
                <c:ptCount val="5"/>
                <c:pt idx="0">
                  <c:v>390.5</c:v>
                </c:pt>
                <c:pt idx="1">
                  <c:v>180</c:v>
                </c:pt>
                <c:pt idx="2">
                  <c:v>270</c:v>
                </c:pt>
                <c:pt idx="3">
                  <c:v>195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14-43AF-9BFF-E3312E3F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63589903118039"/>
          <c:y val="0.25292991346198401"/>
          <c:w val="0.31956781453104399"/>
          <c:h val="0.5808896498886779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595959"/>
              </a:solidFill>
              <a:latin typeface="Century Gothic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 cap="rnd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56160</xdr:colOff>
      <xdr:row>2</xdr:row>
      <xdr:rowOff>155880</xdr:rowOff>
    </xdr:from>
    <xdr:to>
      <xdr:col>16</xdr:col>
      <xdr:colOff>562319</xdr:colOff>
      <xdr:row>19</xdr:row>
      <xdr:rowOff>127080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Íon - Sala da Diretoria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Íon - Sala da Diretoria">
      <a:majorFont>
        <a:latin typeface="Century Gothic" panose="020B0502020202020204"/>
        <a:ea typeface=""/>
        <a:cs typeface=""/>
      </a:majorFont>
      <a:minorFont>
        <a:latin typeface="Century Gothic" panose="020B0502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lumMod val="110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  <a:tileRect/>
        </a:gradFill>
      </a:fillStyleLst>
      <a:lnStyleLst>
        <a:ln w="9525" cap="rnd" cmpd="sng" algn="ctr">
          <a:prstDash val="solid"/>
        </a:ln>
        <a:ln w="19050" cap="rnd" cmpd="sng" algn="ctr">
          <a:prstDash val="solid"/>
        </a:ln>
        <a:ln w="2857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8000"/>
                <a:lumMod val="124000"/>
              </a:schemeClr>
            </a:gs>
            <a:gs pos="100000">
              <a:schemeClr val="phClr">
                <a:shade val="76000"/>
                <a:lumMod val="56000"/>
              </a:schemeClr>
            </a:gs>
          </a:gsLst>
          <a:path path="circle">
            <a:fillToRect l="45000" t="65000" r="125000" b="100000"/>
          </a:path>
          <a:tileRect/>
        </a:gradFill>
        <a:blipFill rotWithShape="1">
          <a:srcRect/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5"/>
  <sheetViews>
    <sheetView showGridLines="0" zoomScaleNormal="100" workbookViewId="0">
      <pane ySplit="5" topLeftCell="A11" activePane="bottomLeft" state="frozen"/>
      <selection pane="bottomLeft" activeCell="D21" sqref="D21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22" style="2" customWidth="1"/>
    <col min="7" max="7" width="32.77734375" style="2" customWidth="1"/>
    <col min="8" max="8" width="13.21875" style="2" customWidth="1"/>
    <col min="9" max="16384" width="8.6640625" style="2"/>
  </cols>
  <sheetData>
    <row r="3" spans="3:8" ht="20.25" customHeight="1" x14ac:dyDescent="0.35">
      <c r="C3" s="3" t="s">
        <v>0</v>
      </c>
    </row>
    <row r="4" spans="3:8" ht="13.5" customHeight="1" x14ac:dyDescent="0.25">
      <c r="C4" s="1"/>
    </row>
    <row r="6" spans="3:8" ht="15" customHeight="1" x14ac:dyDescent="0.25">
      <c r="C6" s="43" t="s">
        <v>1</v>
      </c>
      <c r="D6" s="43"/>
    </row>
    <row r="7" spans="3:8" ht="13.5" customHeight="1" x14ac:dyDescent="0.25">
      <c r="C7" s="4" t="s">
        <v>2</v>
      </c>
      <c r="D7" s="5">
        <v>1800</v>
      </c>
    </row>
    <row r="8" spans="3:8" ht="13.5" customHeight="1" x14ac:dyDescent="0.25">
      <c r="C8" s="4" t="s">
        <v>3</v>
      </c>
      <c r="D8" s="5">
        <v>1400</v>
      </c>
    </row>
    <row r="9" spans="3:8" ht="13.5" customHeight="1" x14ac:dyDescent="0.25">
      <c r="C9" s="4" t="s">
        <v>4</v>
      </c>
      <c r="D9" s="5">
        <f>D7+D8</f>
        <v>3200</v>
      </c>
    </row>
    <row r="11" spans="3:8" ht="15" customHeight="1" x14ac:dyDescent="0.25">
      <c r="C11" s="43" t="s">
        <v>5</v>
      </c>
      <c r="D11" s="43"/>
      <c r="E11" s="43" t="s">
        <v>6</v>
      </c>
      <c r="F11" s="43"/>
      <c r="G11" s="43" t="s">
        <v>7</v>
      </c>
      <c r="H11" s="43"/>
    </row>
    <row r="12" spans="3:8" ht="13.5" customHeight="1" x14ac:dyDescent="0.25">
      <c r="C12" s="4" t="s">
        <v>8</v>
      </c>
      <c r="D12" s="5">
        <v>8500</v>
      </c>
      <c r="E12" s="4" t="s">
        <v>8</v>
      </c>
      <c r="F12" s="5">
        <v>96</v>
      </c>
      <c r="G12" s="4" t="s">
        <v>8</v>
      </c>
      <c r="H12" s="5">
        <v>96</v>
      </c>
    </row>
    <row r="13" spans="3:8" ht="13.5" customHeight="1" x14ac:dyDescent="0.25">
      <c r="C13" s="4" t="s">
        <v>9</v>
      </c>
      <c r="D13" s="6">
        <v>9</v>
      </c>
      <c r="E13" s="7" t="s">
        <v>9</v>
      </c>
      <c r="F13" s="8">
        <v>1</v>
      </c>
      <c r="G13" s="4" t="s">
        <v>9</v>
      </c>
      <c r="H13" s="9">
        <v>1</v>
      </c>
    </row>
    <row r="14" spans="3:8" ht="13.5" customHeight="1" x14ac:dyDescent="0.25">
      <c r="C14" s="4" t="s">
        <v>10</v>
      </c>
      <c r="D14" s="10">
        <v>800</v>
      </c>
      <c r="E14" s="4" t="s">
        <v>10</v>
      </c>
      <c r="F14" s="11">
        <v>49</v>
      </c>
      <c r="G14" s="4" t="s">
        <v>10</v>
      </c>
      <c r="H14" s="11">
        <v>43</v>
      </c>
    </row>
    <row r="15" spans="3:8" ht="13.5" customHeight="1" x14ac:dyDescent="0.25">
      <c r="C15" s="12" t="s">
        <v>11</v>
      </c>
      <c r="D15" s="13">
        <f>D14/D9</f>
        <v>0.25</v>
      </c>
      <c r="F15" s="14"/>
    </row>
    <row r="16" spans="3:8" ht="13.5" customHeight="1" x14ac:dyDescent="0.25">
      <c r="C16" s="4" t="s">
        <v>12</v>
      </c>
      <c r="D16" s="15">
        <f>D12</f>
        <v>8500</v>
      </c>
      <c r="F16" s="14"/>
    </row>
    <row r="18" spans="3:7" ht="15" customHeight="1" x14ac:dyDescent="0.25">
      <c r="C18" s="43" t="s">
        <v>13</v>
      </c>
      <c r="D18" s="43"/>
      <c r="G18" s="16"/>
    </row>
    <row r="19" spans="3:7" ht="13.5" customHeight="1" x14ac:dyDescent="0.25">
      <c r="C19" s="4" t="s">
        <v>14</v>
      </c>
      <c r="D19" s="17">
        <f>D9</f>
        <v>3200</v>
      </c>
    </row>
    <row r="20" spans="3:7" ht="13.5" customHeight="1" x14ac:dyDescent="0.25">
      <c r="C20" s="4" t="s">
        <v>15</v>
      </c>
      <c r="D20" s="18">
        <f>F14+H14+D14</f>
        <v>892</v>
      </c>
    </row>
    <row r="21" spans="3:7" ht="13.5" customHeight="1" x14ac:dyDescent="0.25">
      <c r="C21" s="4" t="s">
        <v>16</v>
      </c>
      <c r="D21" s="19">
        <f>D19-D20</f>
        <v>2308</v>
      </c>
    </row>
    <row r="23" spans="3:7" ht="13.5" customHeight="1" x14ac:dyDescent="0.25">
      <c r="C23" s="42"/>
      <c r="D23" s="42"/>
      <c r="E23" s="42"/>
    </row>
    <row r="24" spans="3:7" ht="13.5" customHeight="1" x14ac:dyDescent="0.25">
      <c r="C24" s="42"/>
      <c r="D24" s="42"/>
      <c r="E24" s="42"/>
    </row>
    <row r="25" spans="3:7" ht="13.5" customHeight="1" x14ac:dyDescent="0.25">
      <c r="C25" s="42"/>
      <c r="D25" s="42"/>
      <c r="E25" s="42"/>
    </row>
  </sheetData>
  <mergeCells count="6">
    <mergeCell ref="C23:E25"/>
    <mergeCell ref="C6:D6"/>
    <mergeCell ref="C11:D11"/>
    <mergeCell ref="E11:F11"/>
    <mergeCell ref="G11:H11"/>
    <mergeCell ref="C18:D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8" ht="20.25" customHeight="1" x14ac:dyDescent="0.35">
      <c r="C3" s="3" t="s">
        <v>0</v>
      </c>
    </row>
    <row r="4" spans="3:8" ht="13.5" customHeight="1" x14ac:dyDescent="0.25">
      <c r="C4" s="1"/>
    </row>
    <row r="6" spans="3:8" ht="15" customHeight="1" x14ac:dyDescent="0.25">
      <c r="C6" s="43" t="s">
        <v>1</v>
      </c>
      <c r="D6" s="43"/>
    </row>
    <row r="7" spans="3:8" ht="13.5" customHeight="1" x14ac:dyDescent="0.25">
      <c r="C7" s="4" t="s">
        <v>2</v>
      </c>
      <c r="D7" s="5">
        <v>1800</v>
      </c>
    </row>
    <row r="8" spans="3:8" ht="13.5" customHeight="1" x14ac:dyDescent="0.25">
      <c r="C8" s="4" t="s">
        <v>3</v>
      </c>
      <c r="D8" s="5">
        <v>1400</v>
      </c>
    </row>
    <row r="9" spans="3:8" ht="13.5" customHeight="1" x14ac:dyDescent="0.25">
      <c r="C9" s="7" t="s">
        <v>4</v>
      </c>
      <c r="D9" s="5">
        <f>D7+D8</f>
        <v>3200</v>
      </c>
    </row>
    <row r="10" spans="3:8" ht="13.5" customHeight="1" x14ac:dyDescent="0.25">
      <c r="C10" s="20"/>
    </row>
    <row r="11" spans="3:8" ht="15" customHeight="1" x14ac:dyDescent="0.25">
      <c r="C11" s="43" t="s">
        <v>5</v>
      </c>
      <c r="D11" s="43"/>
      <c r="E11" s="43" t="s">
        <v>6</v>
      </c>
      <c r="F11" s="43"/>
      <c r="G11" s="43" t="s">
        <v>7</v>
      </c>
      <c r="H11" s="43"/>
    </row>
    <row r="12" spans="3:8" ht="13.5" customHeight="1" x14ac:dyDescent="0.25">
      <c r="C12" s="21" t="s">
        <v>8</v>
      </c>
      <c r="D12" s="22">
        <v>8500</v>
      </c>
      <c r="E12" s="23" t="s">
        <v>17</v>
      </c>
      <c r="F12" s="11">
        <v>47</v>
      </c>
      <c r="G12" s="4" t="s">
        <v>17</v>
      </c>
      <c r="H12" s="11">
        <v>19</v>
      </c>
    </row>
    <row r="13" spans="3:8" ht="13.5" customHeight="1" x14ac:dyDescent="0.25">
      <c r="C13" s="21" t="s">
        <v>9</v>
      </c>
      <c r="D13" s="24">
        <v>8</v>
      </c>
    </row>
    <row r="14" spans="3:8" ht="13.5" customHeight="1" x14ac:dyDescent="0.25">
      <c r="C14" s="21" t="s">
        <v>10</v>
      </c>
      <c r="D14" s="25">
        <v>1180</v>
      </c>
    </row>
    <row r="15" spans="3:8" ht="13.5" customHeight="1" x14ac:dyDescent="0.25">
      <c r="C15" s="12" t="s">
        <v>11</v>
      </c>
      <c r="D15" s="26">
        <f>D14/D9</f>
        <v>0.36875000000000002</v>
      </c>
    </row>
    <row r="16" spans="3:8" ht="13.5" customHeight="1" x14ac:dyDescent="0.25">
      <c r="C16" s="21" t="s">
        <v>12</v>
      </c>
      <c r="D16" s="27">
        <f>'Renda Julho'!D16-D14</f>
        <v>7320</v>
      </c>
      <c r="F16" s="14"/>
    </row>
    <row r="18" spans="3:7" ht="15" customHeight="1" x14ac:dyDescent="0.25">
      <c r="C18" s="43" t="s">
        <v>13</v>
      </c>
      <c r="D18" s="43"/>
      <c r="G18" s="28"/>
    </row>
    <row r="19" spans="3:7" ht="13.5" customHeight="1" x14ac:dyDescent="0.25">
      <c r="C19" s="4" t="s">
        <v>14</v>
      </c>
      <c r="D19" s="17">
        <f>D9</f>
        <v>3200</v>
      </c>
    </row>
    <row r="20" spans="3:7" ht="13.5" customHeight="1" x14ac:dyDescent="0.25">
      <c r="C20" s="4" t="s">
        <v>15</v>
      </c>
      <c r="D20" s="18">
        <f>D14+F12+H12</f>
        <v>1246</v>
      </c>
    </row>
    <row r="21" spans="3:7" ht="13.5" customHeight="1" x14ac:dyDescent="0.25">
      <c r="C21" s="4" t="s">
        <v>16</v>
      </c>
      <c r="D21" s="19">
        <f>D19-D20</f>
        <v>1954</v>
      </c>
    </row>
    <row r="23" spans="3:7" ht="13.5" customHeight="1" x14ac:dyDescent="0.25">
      <c r="C23" s="42"/>
      <c r="D23" s="42"/>
      <c r="E23" s="42"/>
    </row>
    <row r="24" spans="3:7" ht="13.5" customHeight="1" x14ac:dyDescent="0.25">
      <c r="C24" s="42"/>
      <c r="D24" s="42"/>
      <c r="E24" s="42"/>
    </row>
    <row r="25" spans="3:7" ht="13.5" customHeight="1" x14ac:dyDescent="0.25">
      <c r="C25" s="42"/>
      <c r="D25" s="42"/>
      <c r="E25" s="42"/>
    </row>
  </sheetData>
  <mergeCells count="6">
    <mergeCell ref="C23:E25"/>
    <mergeCell ref="C6:D6"/>
    <mergeCell ref="C11:D11"/>
    <mergeCell ref="E11:F11"/>
    <mergeCell ref="G11:H11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G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7" ht="20.25" customHeight="1" x14ac:dyDescent="0.35">
      <c r="C3" s="3" t="s">
        <v>0</v>
      </c>
    </row>
    <row r="4" spans="3:7" ht="13.5" customHeight="1" x14ac:dyDescent="0.25">
      <c r="C4" s="1"/>
    </row>
    <row r="6" spans="3:7" ht="15" customHeight="1" x14ac:dyDescent="0.25">
      <c r="C6" s="43" t="s">
        <v>1</v>
      </c>
      <c r="D6" s="43"/>
    </row>
    <row r="7" spans="3:7" ht="13.5" customHeight="1" x14ac:dyDescent="0.25">
      <c r="C7" s="4" t="s">
        <v>2</v>
      </c>
      <c r="D7" s="5">
        <v>1800</v>
      </c>
    </row>
    <row r="8" spans="3:7" ht="13.5" customHeight="1" x14ac:dyDescent="0.25">
      <c r="C8" s="4" t="s">
        <v>3</v>
      </c>
      <c r="D8" s="5">
        <v>1400</v>
      </c>
    </row>
    <row r="9" spans="3:7" ht="13.5" customHeight="1" x14ac:dyDescent="0.25">
      <c r="C9" s="4" t="s">
        <v>4</v>
      </c>
      <c r="D9" s="5">
        <f>D7+D8</f>
        <v>3200</v>
      </c>
    </row>
    <row r="11" spans="3:7" ht="15" customHeight="1" x14ac:dyDescent="0.25">
      <c r="C11" s="43" t="s">
        <v>5</v>
      </c>
      <c r="D11" s="43"/>
    </row>
    <row r="12" spans="3:7" ht="13.5" customHeight="1" x14ac:dyDescent="0.25">
      <c r="C12" s="4" t="s">
        <v>8</v>
      </c>
      <c r="D12" s="5">
        <v>8500</v>
      </c>
    </row>
    <row r="13" spans="3:7" ht="13.5" customHeight="1" x14ac:dyDescent="0.25">
      <c r="C13" s="4" t="s">
        <v>9</v>
      </c>
      <c r="D13" s="6">
        <v>7</v>
      </c>
    </row>
    <row r="14" spans="3:7" ht="13.5" customHeight="1" x14ac:dyDescent="0.25">
      <c r="C14" s="4" t="s">
        <v>10</v>
      </c>
      <c r="D14" s="29">
        <v>1150</v>
      </c>
      <c r="G14" s="28"/>
    </row>
    <row r="15" spans="3:7" ht="13.5" customHeight="1" x14ac:dyDescent="0.25">
      <c r="C15" s="7" t="s">
        <v>11</v>
      </c>
      <c r="D15" s="30">
        <f>D14/D9</f>
        <v>0.359375</v>
      </c>
    </row>
    <row r="16" spans="3:7" ht="13.5" customHeight="1" x14ac:dyDescent="0.25">
      <c r="C16" s="4" t="s">
        <v>12</v>
      </c>
      <c r="D16" s="31">
        <f>'Renda Agosto'!D16-D14</f>
        <v>6170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-1150</v>
      </c>
    </row>
    <row r="21" spans="3:5" ht="13.5" customHeight="1" x14ac:dyDescent="0.25">
      <c r="C21" s="4" t="s">
        <v>16</v>
      </c>
      <c r="D21" s="19">
        <f>D19+D20</f>
        <v>2050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G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7" ht="20.25" customHeight="1" x14ac:dyDescent="0.35">
      <c r="C3" s="3" t="s">
        <v>0</v>
      </c>
    </row>
    <row r="4" spans="3:7" ht="13.5" customHeight="1" x14ac:dyDescent="0.25">
      <c r="C4" s="1"/>
    </row>
    <row r="6" spans="3:7" ht="15" customHeight="1" x14ac:dyDescent="0.25">
      <c r="C6" s="43" t="s">
        <v>1</v>
      </c>
      <c r="D6" s="43"/>
    </row>
    <row r="7" spans="3:7" ht="13.5" customHeight="1" x14ac:dyDescent="0.25">
      <c r="C7" s="4" t="s">
        <v>2</v>
      </c>
      <c r="D7" s="5">
        <v>1800</v>
      </c>
    </row>
    <row r="8" spans="3:7" ht="13.5" customHeight="1" x14ac:dyDescent="0.25">
      <c r="C8" s="4" t="s">
        <v>3</v>
      </c>
      <c r="D8" s="5">
        <v>1400</v>
      </c>
    </row>
    <row r="9" spans="3:7" ht="13.5" customHeight="1" x14ac:dyDescent="0.25">
      <c r="C9" s="4" t="s">
        <v>4</v>
      </c>
      <c r="D9" s="5">
        <f>D7+D8</f>
        <v>3200</v>
      </c>
    </row>
    <row r="11" spans="3:7" ht="15" customHeight="1" x14ac:dyDescent="0.25">
      <c r="C11" s="43" t="s">
        <v>5</v>
      </c>
      <c r="D11" s="43"/>
    </row>
    <row r="12" spans="3:7" ht="13.5" customHeight="1" x14ac:dyDescent="0.25">
      <c r="C12" s="4" t="s">
        <v>8</v>
      </c>
      <c r="D12" s="5">
        <v>8500</v>
      </c>
    </row>
    <row r="13" spans="3:7" ht="13.5" customHeight="1" x14ac:dyDescent="0.25">
      <c r="C13" s="4" t="s">
        <v>9</v>
      </c>
      <c r="D13" s="6">
        <v>6</v>
      </c>
    </row>
    <row r="14" spans="3:7" ht="13.5" customHeight="1" x14ac:dyDescent="0.25">
      <c r="C14" s="4" t="s">
        <v>10</v>
      </c>
      <c r="D14" s="29">
        <v>1070</v>
      </c>
    </row>
    <row r="15" spans="3:7" ht="13.5" customHeight="1" x14ac:dyDescent="0.25">
      <c r="C15" s="7" t="s">
        <v>11</v>
      </c>
      <c r="D15" s="30">
        <f>D14/D9</f>
        <v>0.33437499999999998</v>
      </c>
      <c r="G15" s="28"/>
    </row>
    <row r="16" spans="3:7" ht="13.5" customHeight="1" x14ac:dyDescent="0.25">
      <c r="C16" s="4" t="s">
        <v>12</v>
      </c>
      <c r="D16" s="15">
        <f>'Renda Setembro'!D16-D14</f>
        <v>5100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-1070</v>
      </c>
    </row>
    <row r="21" spans="3:5" ht="13.5" customHeight="1" x14ac:dyDescent="0.25">
      <c r="C21" s="4" t="s">
        <v>16</v>
      </c>
      <c r="D21" s="19">
        <f>D19+D20</f>
        <v>2130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H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12.77734375" style="2" customWidth="1"/>
    <col min="6" max="6" width="28.21875" style="2" customWidth="1"/>
    <col min="7" max="7" width="18.44140625" style="2" customWidth="1"/>
    <col min="8" max="16384" width="8.6640625" style="2"/>
  </cols>
  <sheetData>
    <row r="3" spans="3:8" ht="20.25" customHeight="1" x14ac:dyDescent="0.35">
      <c r="C3" s="3" t="s">
        <v>0</v>
      </c>
    </row>
    <row r="4" spans="3:8" ht="13.5" customHeight="1" x14ac:dyDescent="0.25">
      <c r="C4" s="1"/>
    </row>
    <row r="6" spans="3:8" ht="15" customHeight="1" x14ac:dyDescent="0.25">
      <c r="C6" s="43" t="s">
        <v>1</v>
      </c>
      <c r="D6" s="43"/>
    </row>
    <row r="7" spans="3:8" ht="13.5" customHeight="1" x14ac:dyDescent="0.25">
      <c r="C7" s="4" t="s">
        <v>2</v>
      </c>
      <c r="D7" s="5">
        <v>1800</v>
      </c>
    </row>
    <row r="8" spans="3:8" ht="13.5" customHeight="1" x14ac:dyDescent="0.25">
      <c r="C8" s="4" t="s">
        <v>3</v>
      </c>
      <c r="D8" s="5">
        <v>1400</v>
      </c>
    </row>
    <row r="9" spans="3:8" ht="13.5" customHeight="1" x14ac:dyDescent="0.25">
      <c r="C9" s="4" t="s">
        <v>4</v>
      </c>
      <c r="D9" s="5">
        <f>D7+D8</f>
        <v>3200</v>
      </c>
    </row>
    <row r="11" spans="3:8" ht="15" customHeight="1" x14ac:dyDescent="0.25">
      <c r="C11" s="43" t="s">
        <v>5</v>
      </c>
      <c r="D11" s="43"/>
    </row>
    <row r="12" spans="3:8" ht="13.5" customHeight="1" x14ac:dyDescent="0.25">
      <c r="C12" s="4" t="s">
        <v>8</v>
      </c>
      <c r="D12" s="5">
        <v>8500</v>
      </c>
    </row>
    <row r="13" spans="3:8" ht="13.5" customHeight="1" x14ac:dyDescent="0.25">
      <c r="C13" s="4" t="s">
        <v>9</v>
      </c>
      <c r="D13" s="6">
        <v>5</v>
      </c>
    </row>
    <row r="14" spans="3:8" ht="13.5" customHeight="1" x14ac:dyDescent="0.25">
      <c r="C14" s="4" t="s">
        <v>10</v>
      </c>
      <c r="D14" s="29">
        <v>890</v>
      </c>
    </row>
    <row r="15" spans="3:8" ht="13.5" customHeight="1" x14ac:dyDescent="0.25">
      <c r="C15" s="7" t="s">
        <v>11</v>
      </c>
      <c r="D15" s="30">
        <f>D14/D9</f>
        <v>0.27812500000000001</v>
      </c>
      <c r="H15" s="28"/>
    </row>
    <row r="16" spans="3:8" ht="13.5" customHeight="1" x14ac:dyDescent="0.25">
      <c r="C16" s="4" t="s">
        <v>12</v>
      </c>
      <c r="D16" s="15">
        <f>'Renda Outubro'!D16-D14</f>
        <v>4210</v>
      </c>
      <c r="E16" s="14"/>
    </row>
    <row r="18" spans="3:4" ht="15" customHeight="1" x14ac:dyDescent="0.25">
      <c r="C18" s="43" t="s">
        <v>13</v>
      </c>
      <c r="D18" s="43"/>
    </row>
    <row r="19" spans="3:4" ht="13.5" customHeight="1" x14ac:dyDescent="0.25">
      <c r="C19" s="4" t="s">
        <v>14</v>
      </c>
      <c r="D19" s="17">
        <f>D9</f>
        <v>3200</v>
      </c>
    </row>
    <row r="20" spans="3:4" ht="13.5" customHeight="1" x14ac:dyDescent="0.25">
      <c r="C20" s="4" t="s">
        <v>15</v>
      </c>
      <c r="D20" s="18">
        <f>-D14</f>
        <v>-890</v>
      </c>
    </row>
    <row r="21" spans="3:4" ht="13.5" customHeight="1" x14ac:dyDescent="0.25">
      <c r="C21" s="4" t="s">
        <v>16</v>
      </c>
      <c r="D21" s="19">
        <f>D19+D20</f>
        <v>2310</v>
      </c>
    </row>
    <row r="23" spans="3:4" ht="13.5" customHeight="1" x14ac:dyDescent="0.25">
      <c r="C23" s="42"/>
      <c r="D23" s="42"/>
    </row>
    <row r="24" spans="3:4" ht="13.5" customHeight="1" x14ac:dyDescent="0.25">
      <c r="C24" s="42"/>
      <c r="D24" s="42"/>
    </row>
    <row r="25" spans="3:4" ht="13.5" customHeight="1" x14ac:dyDescent="0.25">
      <c r="C25" s="42"/>
      <c r="D25" s="42"/>
    </row>
  </sheetData>
  <mergeCells count="4">
    <mergeCell ref="C6:D6"/>
    <mergeCell ref="C11:D11"/>
    <mergeCell ref="C18:D18"/>
    <mergeCell ref="C23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G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12.77734375" style="2" customWidth="1"/>
    <col min="6" max="6" width="28.21875" style="2" customWidth="1"/>
    <col min="7" max="7" width="18.44140625" style="2" customWidth="1"/>
    <col min="8" max="16384" width="8.6640625" style="2"/>
  </cols>
  <sheetData>
    <row r="3" spans="3:7" ht="20.25" customHeight="1" x14ac:dyDescent="0.35">
      <c r="C3" s="3" t="s">
        <v>0</v>
      </c>
    </row>
    <row r="4" spans="3:7" ht="13.5" customHeight="1" x14ac:dyDescent="0.25">
      <c r="C4" s="1"/>
    </row>
    <row r="6" spans="3:7" ht="15" customHeight="1" x14ac:dyDescent="0.25">
      <c r="C6" s="43" t="s">
        <v>1</v>
      </c>
      <c r="D6" s="43"/>
    </row>
    <row r="7" spans="3:7" ht="13.5" customHeight="1" x14ac:dyDescent="0.25">
      <c r="C7" s="4" t="s">
        <v>2</v>
      </c>
      <c r="D7" s="5">
        <v>1800</v>
      </c>
    </row>
    <row r="8" spans="3:7" ht="13.5" customHeight="1" x14ac:dyDescent="0.25">
      <c r="C8" s="4" t="s">
        <v>3</v>
      </c>
      <c r="D8" s="5">
        <v>1400</v>
      </c>
    </row>
    <row r="9" spans="3:7" ht="13.5" customHeight="1" x14ac:dyDescent="0.25">
      <c r="C9" s="4" t="s">
        <v>4</v>
      </c>
      <c r="D9" s="5">
        <f>D7+D8</f>
        <v>3200</v>
      </c>
    </row>
    <row r="11" spans="3:7" ht="15" customHeight="1" x14ac:dyDescent="0.25">
      <c r="C11" s="43" t="s">
        <v>5</v>
      </c>
      <c r="D11" s="43"/>
    </row>
    <row r="12" spans="3:7" ht="13.5" customHeight="1" x14ac:dyDescent="0.25">
      <c r="C12" s="4" t="s">
        <v>8</v>
      </c>
      <c r="D12" s="5">
        <v>8500</v>
      </c>
    </row>
    <row r="13" spans="3:7" ht="13.5" customHeight="1" x14ac:dyDescent="0.25">
      <c r="C13" s="4" t="s">
        <v>9</v>
      </c>
      <c r="D13" s="6">
        <v>4</v>
      </c>
    </row>
    <row r="14" spans="3:7" ht="13.5" customHeight="1" x14ac:dyDescent="0.25">
      <c r="C14" s="4" t="s">
        <v>10</v>
      </c>
      <c r="D14" s="29">
        <v>890</v>
      </c>
      <c r="G14" s="28"/>
    </row>
    <row r="15" spans="3:7" ht="13.5" customHeight="1" x14ac:dyDescent="0.25">
      <c r="C15" s="7" t="s">
        <v>11</v>
      </c>
      <c r="D15" s="30">
        <f>D14/D9</f>
        <v>0.27812500000000001</v>
      </c>
    </row>
    <row r="16" spans="3:7" ht="13.5" customHeight="1" x14ac:dyDescent="0.25">
      <c r="C16" s="4" t="s">
        <v>12</v>
      </c>
      <c r="D16" s="15">
        <f>'Renda Novembro'!D16-D14</f>
        <v>3320</v>
      </c>
      <c r="E16" s="14"/>
    </row>
    <row r="18" spans="3:4" ht="15" customHeight="1" x14ac:dyDescent="0.25">
      <c r="C18" s="43" t="s">
        <v>13</v>
      </c>
      <c r="D18" s="43"/>
    </row>
    <row r="19" spans="3:4" ht="13.5" customHeight="1" x14ac:dyDescent="0.25">
      <c r="C19" s="4" t="s">
        <v>14</v>
      </c>
      <c r="D19" s="17">
        <f>D9</f>
        <v>3200</v>
      </c>
    </row>
    <row r="20" spans="3:4" ht="13.5" customHeight="1" x14ac:dyDescent="0.25">
      <c r="C20" s="4" t="s">
        <v>15</v>
      </c>
      <c r="D20" s="18">
        <f>-D14</f>
        <v>-890</v>
      </c>
    </row>
    <row r="21" spans="3:4" ht="13.5" customHeight="1" x14ac:dyDescent="0.25">
      <c r="C21" s="4" t="s">
        <v>16</v>
      </c>
      <c r="D21" s="19">
        <f>D19+D20</f>
        <v>2310</v>
      </c>
    </row>
    <row r="23" spans="3:4" ht="13.5" customHeight="1" x14ac:dyDescent="0.25">
      <c r="C23" s="42"/>
      <c r="D23" s="42"/>
    </row>
    <row r="24" spans="3:4" ht="13.5" customHeight="1" x14ac:dyDescent="0.25">
      <c r="C24" s="42"/>
      <c r="D24" s="42"/>
    </row>
    <row r="25" spans="3:4" ht="13.5" customHeight="1" x14ac:dyDescent="0.25">
      <c r="C25" s="42"/>
      <c r="D25" s="42"/>
    </row>
  </sheetData>
  <mergeCells count="4">
    <mergeCell ref="C6:D6"/>
    <mergeCell ref="C11:D11"/>
    <mergeCell ref="C18:D18"/>
    <mergeCell ref="C23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F25"/>
  <sheetViews>
    <sheetView showGridLines="0" zoomScaleNormal="100" workbookViewId="0">
      <pane ySplit="5" topLeftCell="A11" activePane="bottomLeft" state="frozen"/>
      <selection pane="bottomLeft" activeCell="C23" sqref="C23:E25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6" ht="20.25" customHeight="1" x14ac:dyDescent="0.35">
      <c r="C3" s="3" t="s">
        <v>0</v>
      </c>
    </row>
    <row r="4" spans="3:6" ht="13.5" customHeight="1" x14ac:dyDescent="0.25">
      <c r="C4" s="1"/>
    </row>
    <row r="6" spans="3:6" ht="15" customHeight="1" x14ac:dyDescent="0.25">
      <c r="C6" s="43" t="s">
        <v>1</v>
      </c>
      <c r="D6" s="43"/>
    </row>
    <row r="7" spans="3:6" ht="13.5" customHeight="1" x14ac:dyDescent="0.25">
      <c r="C7" s="4" t="s">
        <v>2</v>
      </c>
      <c r="D7" s="5">
        <v>1800</v>
      </c>
    </row>
    <row r="8" spans="3:6" ht="13.5" customHeight="1" x14ac:dyDescent="0.25">
      <c r="C8" s="4" t="s">
        <v>3</v>
      </c>
      <c r="D8" s="5">
        <v>1400</v>
      </c>
    </row>
    <row r="9" spans="3:6" ht="13.5" customHeight="1" x14ac:dyDescent="0.25">
      <c r="C9" s="4" t="s">
        <v>4</v>
      </c>
      <c r="D9" s="5">
        <f>D7+D8</f>
        <v>3200</v>
      </c>
    </row>
    <row r="11" spans="3:6" ht="15" customHeight="1" x14ac:dyDescent="0.25">
      <c r="C11" s="43" t="s">
        <v>5</v>
      </c>
      <c r="D11" s="43"/>
    </row>
    <row r="12" spans="3:6" ht="13.5" customHeight="1" x14ac:dyDescent="0.25">
      <c r="C12" s="4" t="s">
        <v>8</v>
      </c>
      <c r="D12" s="5">
        <v>8500</v>
      </c>
    </row>
    <row r="13" spans="3:6" ht="13.5" customHeight="1" x14ac:dyDescent="0.25">
      <c r="C13" s="4" t="s">
        <v>9</v>
      </c>
      <c r="D13" s="6">
        <v>3</v>
      </c>
    </row>
    <row r="14" spans="3:6" ht="13.5" customHeight="1" x14ac:dyDescent="0.25">
      <c r="C14" s="4" t="s">
        <v>10</v>
      </c>
      <c r="D14" s="29">
        <v>890</v>
      </c>
      <c r="F14" s="28"/>
    </row>
    <row r="15" spans="3:6" ht="13.5" customHeight="1" x14ac:dyDescent="0.25">
      <c r="C15" s="7" t="s">
        <v>11</v>
      </c>
      <c r="D15" s="30">
        <f>D14/D9</f>
        <v>0.27812500000000001</v>
      </c>
    </row>
    <row r="16" spans="3:6" ht="13.5" customHeight="1" x14ac:dyDescent="0.25">
      <c r="C16" s="4" t="s">
        <v>12</v>
      </c>
      <c r="D16" s="15">
        <f>'Renda Dezembro'!D16-D14</f>
        <v>2430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-890</v>
      </c>
    </row>
    <row r="21" spans="3:5" ht="13.5" customHeight="1" x14ac:dyDescent="0.25">
      <c r="C21" s="4" t="s">
        <v>16</v>
      </c>
      <c r="D21" s="19">
        <f>D19+D20</f>
        <v>2310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F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6" ht="20.25" customHeight="1" x14ac:dyDescent="0.35">
      <c r="C3" s="3" t="s">
        <v>0</v>
      </c>
    </row>
    <row r="4" spans="3:6" ht="13.5" customHeight="1" x14ac:dyDescent="0.25">
      <c r="C4" s="1"/>
    </row>
    <row r="6" spans="3:6" ht="15" customHeight="1" x14ac:dyDescent="0.25">
      <c r="C6" s="43" t="s">
        <v>1</v>
      </c>
      <c r="D6" s="43"/>
    </row>
    <row r="7" spans="3:6" ht="13.5" customHeight="1" x14ac:dyDescent="0.25">
      <c r="C7" s="4" t="s">
        <v>2</v>
      </c>
      <c r="D7" s="5">
        <v>1800</v>
      </c>
    </row>
    <row r="8" spans="3:6" ht="13.5" customHeight="1" x14ac:dyDescent="0.25">
      <c r="C8" s="4" t="s">
        <v>3</v>
      </c>
      <c r="D8" s="5">
        <v>1400</v>
      </c>
    </row>
    <row r="9" spans="3:6" ht="13.5" customHeight="1" x14ac:dyDescent="0.25">
      <c r="C9" s="4" t="s">
        <v>4</v>
      </c>
      <c r="D9" s="5">
        <f>D7+D8</f>
        <v>3200</v>
      </c>
    </row>
    <row r="11" spans="3:6" ht="15" customHeight="1" x14ac:dyDescent="0.25">
      <c r="C11" s="43" t="s">
        <v>5</v>
      </c>
      <c r="D11" s="43"/>
    </row>
    <row r="12" spans="3:6" ht="13.5" customHeight="1" x14ac:dyDescent="0.25">
      <c r="C12" s="4" t="s">
        <v>8</v>
      </c>
      <c r="D12" s="5">
        <v>8500</v>
      </c>
    </row>
    <row r="13" spans="3:6" ht="13.5" customHeight="1" x14ac:dyDescent="0.25">
      <c r="C13" s="4" t="s">
        <v>9</v>
      </c>
      <c r="D13" s="6">
        <v>2</v>
      </c>
      <c r="F13" s="28"/>
    </row>
    <row r="14" spans="3:6" ht="13.5" customHeight="1" x14ac:dyDescent="0.25">
      <c r="C14" s="4" t="s">
        <v>10</v>
      </c>
      <c r="D14" s="29">
        <v>810</v>
      </c>
    </row>
    <row r="15" spans="3:6" ht="13.5" customHeight="1" x14ac:dyDescent="0.25">
      <c r="C15" s="7" t="s">
        <v>11</v>
      </c>
      <c r="D15" s="30">
        <f>D14/D9</f>
        <v>0.25312499999999999</v>
      </c>
    </row>
    <row r="16" spans="3:6" ht="13.5" customHeight="1" x14ac:dyDescent="0.25">
      <c r="C16" s="4" t="s">
        <v>12</v>
      </c>
      <c r="D16" s="15">
        <f>'Renda Janeiro'!D16-D14</f>
        <v>1620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-810</v>
      </c>
    </row>
    <row r="21" spans="3:5" ht="13.5" customHeight="1" x14ac:dyDescent="0.25">
      <c r="C21" s="4" t="s">
        <v>16</v>
      </c>
      <c r="D21" s="19">
        <f>D19+D20</f>
        <v>2390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F25"/>
  <sheetViews>
    <sheetView showGridLines="0" zoomScaleNormal="100" workbookViewId="0">
      <pane ySplit="5" topLeftCell="A6" activePane="bottomLeft" state="frozen"/>
      <selection pane="bottomLeft" activeCell="C4" sqref="C4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6" ht="20.25" customHeight="1" x14ac:dyDescent="0.35">
      <c r="C3" s="3" t="s">
        <v>0</v>
      </c>
    </row>
    <row r="4" spans="3:6" ht="13.5" customHeight="1" x14ac:dyDescent="0.25">
      <c r="C4" s="1"/>
    </row>
    <row r="6" spans="3:6" ht="15" customHeight="1" x14ac:dyDescent="0.25">
      <c r="C6" s="43" t="s">
        <v>1</v>
      </c>
      <c r="D6" s="43"/>
    </row>
    <row r="7" spans="3:6" ht="13.5" customHeight="1" x14ac:dyDescent="0.25">
      <c r="C7" s="4" t="s">
        <v>2</v>
      </c>
      <c r="D7" s="5">
        <v>1800</v>
      </c>
    </row>
    <row r="8" spans="3:6" ht="13.5" customHeight="1" x14ac:dyDescent="0.25">
      <c r="C8" s="4" t="s">
        <v>3</v>
      </c>
      <c r="D8" s="5">
        <v>1400</v>
      </c>
    </row>
    <row r="9" spans="3:6" ht="13.5" customHeight="1" x14ac:dyDescent="0.25">
      <c r="C9" s="4" t="s">
        <v>4</v>
      </c>
      <c r="D9" s="5">
        <f>D7+D8</f>
        <v>3200</v>
      </c>
    </row>
    <row r="11" spans="3:6" ht="15" customHeight="1" x14ac:dyDescent="0.25">
      <c r="C11" s="43" t="s">
        <v>5</v>
      </c>
      <c r="D11" s="43"/>
    </row>
    <row r="12" spans="3:6" ht="13.5" customHeight="1" x14ac:dyDescent="0.25">
      <c r="C12" s="4" t="s">
        <v>8</v>
      </c>
      <c r="D12" s="5">
        <v>8500</v>
      </c>
    </row>
    <row r="13" spans="3:6" ht="13.5" customHeight="1" x14ac:dyDescent="0.25">
      <c r="C13" s="4" t="s">
        <v>9</v>
      </c>
      <c r="D13" s="6">
        <v>1</v>
      </c>
    </row>
    <row r="14" spans="3:6" ht="13.5" customHeight="1" x14ac:dyDescent="0.25">
      <c r="C14" s="4" t="s">
        <v>10</v>
      </c>
      <c r="D14" s="29">
        <v>810</v>
      </c>
    </row>
    <row r="15" spans="3:6" ht="13.5" customHeight="1" x14ac:dyDescent="0.25">
      <c r="C15" s="7" t="s">
        <v>11</v>
      </c>
      <c r="D15" s="30">
        <f>D14/D9</f>
        <v>0.25312499999999999</v>
      </c>
    </row>
    <row r="16" spans="3:6" ht="13.5" customHeight="1" x14ac:dyDescent="0.25">
      <c r="C16" s="4" t="s">
        <v>12</v>
      </c>
      <c r="D16" s="15">
        <f>'Renda Fevereiro'!D16-D14</f>
        <v>810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-810</v>
      </c>
    </row>
    <row r="21" spans="3:5" ht="13.5" customHeight="1" x14ac:dyDescent="0.25">
      <c r="C21" s="4" t="s">
        <v>16</v>
      </c>
      <c r="D21" s="19">
        <f>D19+D20</f>
        <v>2390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F25"/>
  <sheetViews>
    <sheetView showGridLines="0" zoomScaleNormal="100" workbookViewId="0">
      <pane ySplit="5" topLeftCell="A6" activePane="bottomLeft" state="frozen"/>
      <selection pane="bottomLeft" activeCell="D21" sqref="D21"/>
    </sheetView>
  </sheetViews>
  <sheetFormatPr defaultColWidth="8.6640625" defaultRowHeight="13.8" x14ac:dyDescent="0.25"/>
  <cols>
    <col min="1" max="2" width="8.6640625" style="2"/>
    <col min="3" max="3" width="34" style="2" customWidth="1"/>
    <col min="4" max="4" width="18" style="2" customWidth="1"/>
    <col min="5" max="5" width="45" style="2" customWidth="1"/>
    <col min="6" max="6" width="12.77734375" style="2" customWidth="1"/>
    <col min="7" max="7" width="28.21875" style="2" customWidth="1"/>
    <col min="8" max="8" width="18.44140625" style="2" customWidth="1"/>
    <col min="9" max="16384" width="8.6640625" style="2"/>
  </cols>
  <sheetData>
    <row r="3" spans="3:6" ht="20.25" customHeight="1" x14ac:dyDescent="0.35">
      <c r="C3" s="3" t="s">
        <v>0</v>
      </c>
    </row>
    <row r="4" spans="3:6" ht="13.5" customHeight="1" x14ac:dyDescent="0.25">
      <c r="C4" s="1"/>
    </row>
    <row r="6" spans="3:6" ht="15" customHeight="1" x14ac:dyDescent="0.25">
      <c r="C6" s="43" t="s">
        <v>1</v>
      </c>
      <c r="D6" s="43"/>
    </row>
    <row r="7" spans="3:6" ht="13.5" customHeight="1" x14ac:dyDescent="0.25">
      <c r="C7" s="4" t="s">
        <v>2</v>
      </c>
      <c r="D7" s="5">
        <v>1800</v>
      </c>
    </row>
    <row r="8" spans="3:6" ht="13.5" customHeight="1" x14ac:dyDescent="0.25">
      <c r="C8" s="4" t="s">
        <v>3</v>
      </c>
      <c r="D8" s="5">
        <v>1400</v>
      </c>
    </row>
    <row r="9" spans="3:6" ht="13.5" customHeight="1" x14ac:dyDescent="0.25">
      <c r="C9" s="4" t="s">
        <v>4</v>
      </c>
      <c r="D9" s="5">
        <f>D7+D8</f>
        <v>3200</v>
      </c>
    </row>
    <row r="11" spans="3:6" ht="15" customHeight="1" x14ac:dyDescent="0.25">
      <c r="C11" s="43" t="s">
        <v>5</v>
      </c>
      <c r="D11" s="43"/>
    </row>
    <row r="12" spans="3:6" ht="13.5" customHeight="1" x14ac:dyDescent="0.25">
      <c r="C12" s="4" t="s">
        <v>8</v>
      </c>
      <c r="D12" s="5">
        <v>8500</v>
      </c>
    </row>
    <row r="13" spans="3:6" ht="13.5" customHeight="1" x14ac:dyDescent="0.25">
      <c r="C13" s="4" t="s">
        <v>9</v>
      </c>
      <c r="D13" s="32" t="s">
        <v>18</v>
      </c>
    </row>
    <row r="14" spans="3:6" ht="13.5" customHeight="1" x14ac:dyDescent="0.25">
      <c r="C14" s="4" t="s">
        <v>10</v>
      </c>
      <c r="D14" s="29">
        <v>810</v>
      </c>
    </row>
    <row r="15" spans="3:6" ht="13.5" customHeight="1" x14ac:dyDescent="0.25">
      <c r="C15" s="7" t="s">
        <v>11</v>
      </c>
      <c r="D15" s="30">
        <f>D14/D9</f>
        <v>0.25312499999999999</v>
      </c>
    </row>
    <row r="16" spans="3:6" ht="13.5" customHeight="1" x14ac:dyDescent="0.25">
      <c r="C16" s="4" t="s">
        <v>12</v>
      </c>
      <c r="D16" s="15">
        <f>'Renda Março'!D16-D14</f>
        <v>0</v>
      </c>
      <c r="F16" s="14"/>
    </row>
    <row r="18" spans="3:5" ht="15" customHeight="1" x14ac:dyDescent="0.25">
      <c r="C18" s="43" t="s">
        <v>13</v>
      </c>
      <c r="D18" s="43"/>
    </row>
    <row r="19" spans="3:5" ht="13.5" customHeight="1" x14ac:dyDescent="0.25">
      <c r="C19" s="4" t="s">
        <v>14</v>
      </c>
      <c r="D19" s="17">
        <f>D9</f>
        <v>3200</v>
      </c>
    </row>
    <row r="20" spans="3:5" ht="13.5" customHeight="1" x14ac:dyDescent="0.25">
      <c r="C20" s="4" t="s">
        <v>15</v>
      </c>
      <c r="D20" s="18">
        <f>-D14</f>
        <v>-810</v>
      </c>
    </row>
    <row r="21" spans="3:5" ht="13.5" customHeight="1" x14ac:dyDescent="0.25">
      <c r="C21" s="4" t="s">
        <v>16</v>
      </c>
      <c r="D21" s="19">
        <f>D19+D20</f>
        <v>2390</v>
      </c>
    </row>
    <row r="23" spans="3:5" ht="13.5" customHeight="1" x14ac:dyDescent="0.25">
      <c r="C23" s="42"/>
      <c r="D23" s="42"/>
      <c r="E23" s="42"/>
    </row>
    <row r="24" spans="3:5" ht="13.5" customHeight="1" x14ac:dyDescent="0.25">
      <c r="C24" s="42"/>
      <c r="D24" s="42"/>
      <c r="E24" s="42"/>
    </row>
    <row r="25" spans="3:5" ht="13.5" customHeight="1" x14ac:dyDescent="0.25">
      <c r="C25" s="42"/>
      <c r="D25" s="42"/>
      <c r="E25" s="42"/>
    </row>
  </sheetData>
  <mergeCells count="4">
    <mergeCell ref="C6:D6"/>
    <mergeCell ref="C11:D11"/>
    <mergeCell ref="C18:D18"/>
    <mergeCell ref="C23:E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F304"/>
  <sheetViews>
    <sheetView showGridLines="0" topLeftCell="B1" zoomScaleNormal="100" workbookViewId="0">
      <pane ySplit="6" topLeftCell="A7" activePane="bottomLeft" state="frozen"/>
      <selection pane="bottomLeft" activeCell="D21" sqref="D21"/>
    </sheetView>
  </sheetViews>
  <sheetFormatPr defaultColWidth="8.6640625" defaultRowHeight="13.8" x14ac:dyDescent="0.25"/>
  <cols>
    <col min="1" max="2" width="8.6640625" style="45"/>
    <col min="3" max="3" width="14" style="45" customWidth="1"/>
    <col min="4" max="4" width="20" style="45" customWidth="1"/>
    <col min="5" max="5" width="34" style="59" customWidth="1"/>
    <col min="6" max="6" width="16" style="45" customWidth="1"/>
    <col min="7" max="16384" width="8.6640625" style="45"/>
  </cols>
  <sheetData>
    <row r="3" spans="3:6" ht="20.25" customHeight="1" x14ac:dyDescent="0.35">
      <c r="C3" s="44" t="s">
        <v>19</v>
      </c>
      <c r="D3" s="44"/>
      <c r="E3" s="44"/>
      <c r="F3" s="44"/>
    </row>
    <row r="4" spans="3:6" ht="13.5" customHeight="1" x14ac:dyDescent="0.25">
      <c r="C4" s="46"/>
      <c r="D4" s="46"/>
      <c r="E4" s="46"/>
      <c r="F4" s="46"/>
    </row>
    <row r="6" spans="3:6" ht="15" customHeight="1" x14ac:dyDescent="0.25">
      <c r="C6" s="47" t="s">
        <v>20</v>
      </c>
      <c r="D6" s="47" t="s">
        <v>21</v>
      </c>
      <c r="E6" s="48" t="s">
        <v>22</v>
      </c>
      <c r="F6" s="47" t="s">
        <v>23</v>
      </c>
    </row>
    <row r="7" spans="3:6" ht="13.2" customHeight="1" x14ac:dyDescent="0.25">
      <c r="C7" s="49">
        <v>46205</v>
      </c>
      <c r="D7" s="50" t="s">
        <v>24</v>
      </c>
      <c r="E7" s="51" t="s">
        <v>35</v>
      </c>
      <c r="F7" s="52">
        <v>210.5</v>
      </c>
    </row>
    <row r="8" spans="3:6" ht="13.5" customHeight="1" x14ac:dyDescent="0.25">
      <c r="C8" s="49">
        <v>46208</v>
      </c>
      <c r="D8" s="50" t="s">
        <v>25</v>
      </c>
      <c r="E8" s="53" t="s">
        <v>41</v>
      </c>
      <c r="F8" s="52">
        <v>28</v>
      </c>
    </row>
    <row r="9" spans="3:6" ht="13.5" customHeight="1" x14ac:dyDescent="0.25">
      <c r="C9" s="49">
        <v>46211</v>
      </c>
      <c r="D9" s="50" t="s">
        <v>28</v>
      </c>
      <c r="E9" s="51" t="s">
        <v>45</v>
      </c>
      <c r="F9" s="52">
        <v>30</v>
      </c>
    </row>
    <row r="10" spans="3:6" ht="13.5" customHeight="1" x14ac:dyDescent="0.25">
      <c r="C10" s="49">
        <v>46212</v>
      </c>
      <c r="D10" s="50" t="s">
        <v>25</v>
      </c>
      <c r="E10" s="51" t="s">
        <v>36</v>
      </c>
      <c r="F10" s="52">
        <v>120</v>
      </c>
    </row>
    <row r="11" spans="3:6" ht="13.5" customHeight="1" x14ac:dyDescent="0.25">
      <c r="C11" s="49">
        <v>46212</v>
      </c>
      <c r="D11" s="50" t="s">
        <v>26</v>
      </c>
      <c r="E11" s="51" t="s">
        <v>37</v>
      </c>
      <c r="F11" s="52">
        <v>45</v>
      </c>
    </row>
    <row r="12" spans="3:6" ht="13.5" customHeight="1" x14ac:dyDescent="0.25">
      <c r="C12" s="49">
        <v>46217</v>
      </c>
      <c r="D12" s="50" t="s">
        <v>27</v>
      </c>
      <c r="E12" s="51" t="s">
        <v>38</v>
      </c>
      <c r="F12" s="52">
        <v>120</v>
      </c>
    </row>
    <row r="13" spans="3:6" ht="13.5" customHeight="1" x14ac:dyDescent="0.25">
      <c r="C13" s="49">
        <v>46218</v>
      </c>
      <c r="D13" s="50" t="s">
        <v>24</v>
      </c>
      <c r="E13" s="51" t="s">
        <v>39</v>
      </c>
      <c r="F13" s="52">
        <v>85</v>
      </c>
    </row>
    <row r="14" spans="3:6" ht="13.5" customHeight="1" x14ac:dyDescent="0.25">
      <c r="C14" s="49">
        <v>46218</v>
      </c>
      <c r="D14" s="50" t="s">
        <v>28</v>
      </c>
      <c r="E14" s="51" t="s">
        <v>40</v>
      </c>
      <c r="F14" s="52">
        <v>60</v>
      </c>
    </row>
    <row r="15" spans="3:6" ht="13.5" customHeight="1" x14ac:dyDescent="0.25">
      <c r="C15" s="49">
        <v>46223</v>
      </c>
      <c r="D15" s="50" t="s">
        <v>25</v>
      </c>
      <c r="E15" s="53" t="s">
        <v>41</v>
      </c>
      <c r="F15" s="52">
        <v>32</v>
      </c>
    </row>
    <row r="16" spans="3:6" ht="13.5" customHeight="1" x14ac:dyDescent="0.25">
      <c r="C16" s="49">
        <v>46225</v>
      </c>
      <c r="D16" s="54" t="s">
        <v>24</v>
      </c>
      <c r="E16" s="51" t="s">
        <v>42</v>
      </c>
      <c r="F16" s="52">
        <v>95</v>
      </c>
    </row>
    <row r="17" spans="3:6" ht="13.5" customHeight="1" x14ac:dyDescent="0.25">
      <c r="C17" s="49">
        <v>46230</v>
      </c>
      <c r="D17" s="54" t="s">
        <v>26</v>
      </c>
      <c r="E17" s="51" t="s">
        <v>43</v>
      </c>
      <c r="F17" s="52">
        <v>150</v>
      </c>
    </row>
    <row r="18" spans="3:6" ht="13.5" customHeight="1" x14ac:dyDescent="0.25">
      <c r="C18" s="49">
        <v>46233</v>
      </c>
      <c r="D18" s="50" t="s">
        <v>27</v>
      </c>
      <c r="E18" s="51" t="s">
        <v>46</v>
      </c>
      <c r="F18" s="52">
        <v>150</v>
      </c>
    </row>
    <row r="19" spans="3:6" ht="13.5" customHeight="1" x14ac:dyDescent="0.25">
      <c r="C19" s="49"/>
      <c r="D19" s="54"/>
      <c r="E19" s="51"/>
      <c r="F19" s="52"/>
    </row>
    <row r="20" spans="3:6" ht="13.5" customHeight="1" x14ac:dyDescent="0.25">
      <c r="C20" s="49"/>
      <c r="D20" s="54"/>
      <c r="E20" s="51"/>
      <c r="F20" s="52"/>
    </row>
    <row r="21" spans="3:6" ht="13.5" customHeight="1" x14ac:dyDescent="0.25">
      <c r="C21" s="49"/>
      <c r="D21" s="54"/>
      <c r="E21" s="51"/>
      <c r="F21" s="52"/>
    </row>
    <row r="22" spans="3:6" ht="13.5" customHeight="1" x14ac:dyDescent="0.25">
      <c r="C22" s="49"/>
      <c r="D22" s="54"/>
      <c r="E22" s="51"/>
      <c r="F22" s="52"/>
    </row>
    <row r="23" spans="3:6" ht="13.5" customHeight="1" x14ac:dyDescent="0.25">
      <c r="C23" s="49"/>
      <c r="D23" s="50"/>
      <c r="E23" s="55"/>
      <c r="F23" s="52"/>
    </row>
    <row r="24" spans="3:6" ht="13.5" customHeight="1" x14ac:dyDescent="0.25">
      <c r="C24" s="49"/>
      <c r="D24" s="50"/>
      <c r="E24" s="51"/>
      <c r="F24" s="52"/>
    </row>
    <row r="25" spans="3:6" ht="13.5" customHeight="1" x14ac:dyDescent="0.25">
      <c r="C25" s="49"/>
      <c r="D25" s="50"/>
      <c r="E25" s="51"/>
      <c r="F25" s="52"/>
    </row>
    <row r="26" spans="3:6" ht="13.5" customHeight="1" x14ac:dyDescent="0.25">
      <c r="C26" s="49"/>
      <c r="D26" s="50"/>
      <c r="E26" s="51"/>
      <c r="F26" s="52"/>
    </row>
    <row r="27" spans="3:6" ht="13.5" customHeight="1" x14ac:dyDescent="0.25">
      <c r="C27" s="56"/>
      <c r="D27" s="50"/>
      <c r="E27" s="51"/>
      <c r="F27" s="52"/>
    </row>
    <row r="28" spans="3:6" ht="13.5" customHeight="1" x14ac:dyDescent="0.25">
      <c r="C28" s="56"/>
      <c r="D28" s="50"/>
      <c r="E28" s="51"/>
      <c r="F28" s="52"/>
    </row>
    <row r="29" spans="3:6" ht="13.5" customHeight="1" x14ac:dyDescent="0.25">
      <c r="C29" s="56"/>
      <c r="D29" s="50"/>
      <c r="E29" s="51"/>
      <c r="F29" s="52"/>
    </row>
    <row r="30" spans="3:6" ht="13.5" customHeight="1" x14ac:dyDescent="0.25">
      <c r="C30" s="56"/>
      <c r="D30" s="50"/>
      <c r="E30" s="51"/>
      <c r="F30" s="52"/>
    </row>
    <row r="31" spans="3:6" ht="13.5" customHeight="1" x14ac:dyDescent="0.25">
      <c r="C31" s="56"/>
      <c r="D31" s="50"/>
      <c r="E31" s="51"/>
      <c r="F31" s="52"/>
    </row>
    <row r="32" spans="3:6" ht="13.5" customHeight="1" x14ac:dyDescent="0.25">
      <c r="C32" s="56"/>
      <c r="D32" s="50"/>
      <c r="E32" s="51"/>
      <c r="F32" s="52"/>
    </row>
    <row r="33" spans="3:6" ht="13.5" customHeight="1" x14ac:dyDescent="0.25">
      <c r="C33" s="56"/>
      <c r="D33" s="50"/>
      <c r="E33" s="51"/>
      <c r="F33" s="52"/>
    </row>
    <row r="34" spans="3:6" ht="13.5" customHeight="1" x14ac:dyDescent="0.25">
      <c r="C34" s="56"/>
      <c r="D34" s="50"/>
      <c r="E34" s="51"/>
      <c r="F34" s="52"/>
    </row>
    <row r="35" spans="3:6" ht="13.5" customHeight="1" x14ac:dyDescent="0.25">
      <c r="C35" s="56"/>
      <c r="D35" s="50"/>
      <c r="E35" s="51"/>
      <c r="F35" s="52"/>
    </row>
    <row r="36" spans="3:6" ht="13.5" customHeight="1" x14ac:dyDescent="0.25">
      <c r="C36" s="56"/>
      <c r="D36" s="50"/>
      <c r="E36" s="51"/>
      <c r="F36" s="52"/>
    </row>
    <row r="37" spans="3:6" ht="13.5" customHeight="1" x14ac:dyDescent="0.25">
      <c r="C37" s="56"/>
      <c r="D37" s="50"/>
      <c r="E37" s="51"/>
      <c r="F37" s="52"/>
    </row>
    <row r="38" spans="3:6" ht="13.5" customHeight="1" x14ac:dyDescent="0.25">
      <c r="C38" s="56"/>
      <c r="D38" s="50"/>
      <c r="E38" s="51"/>
      <c r="F38" s="52"/>
    </row>
    <row r="39" spans="3:6" ht="13.5" customHeight="1" x14ac:dyDescent="0.25">
      <c r="C39" s="56"/>
      <c r="D39" s="50"/>
      <c r="E39" s="51"/>
      <c r="F39" s="52"/>
    </row>
    <row r="40" spans="3:6" ht="13.5" customHeight="1" x14ac:dyDescent="0.25">
      <c r="C40" s="56"/>
      <c r="D40" s="50"/>
      <c r="E40" s="57"/>
      <c r="F40" s="58"/>
    </row>
    <row r="41" spans="3:6" ht="13.5" customHeight="1" x14ac:dyDescent="0.25">
      <c r="C41" s="56"/>
      <c r="D41" s="50"/>
      <c r="E41" s="57"/>
      <c r="F41" s="52"/>
    </row>
    <row r="42" spans="3:6" ht="13.5" customHeight="1" x14ac:dyDescent="0.25">
      <c r="C42" s="56"/>
      <c r="D42" s="50"/>
      <c r="E42" s="57"/>
      <c r="F42" s="52"/>
    </row>
    <row r="43" spans="3:6" ht="13.5" customHeight="1" x14ac:dyDescent="0.25">
      <c r="C43" s="56"/>
      <c r="D43" s="50"/>
      <c r="E43" s="57"/>
      <c r="F43" s="52"/>
    </row>
    <row r="44" spans="3:6" ht="13.5" customHeight="1" x14ac:dyDescent="0.25">
      <c r="C44" s="56"/>
      <c r="D44" s="50"/>
      <c r="E44" s="57"/>
      <c r="F44" s="52"/>
    </row>
    <row r="45" spans="3:6" ht="13.5" customHeight="1" x14ac:dyDescent="0.25">
      <c r="C45" s="56"/>
      <c r="D45" s="50"/>
      <c r="E45" s="57"/>
      <c r="F45" s="52"/>
    </row>
    <row r="46" spans="3:6" ht="13.5" customHeight="1" x14ac:dyDescent="0.25">
      <c r="C46" s="56"/>
      <c r="D46" s="50"/>
      <c r="E46" s="57"/>
      <c r="F46" s="52"/>
    </row>
    <row r="47" spans="3:6" ht="13.5" customHeight="1" x14ac:dyDescent="0.25">
      <c r="C47" s="56"/>
      <c r="D47" s="50"/>
      <c r="E47" s="57"/>
      <c r="F47" s="52"/>
    </row>
    <row r="48" spans="3:6" ht="13.5" customHeight="1" x14ac:dyDescent="0.25">
      <c r="C48" s="56"/>
      <c r="D48" s="50"/>
      <c r="E48" s="57"/>
      <c r="F48" s="52"/>
    </row>
    <row r="49" spans="3:6" ht="13.5" customHeight="1" x14ac:dyDescent="0.25">
      <c r="C49" s="56"/>
      <c r="D49" s="50"/>
      <c r="E49" s="57"/>
      <c r="F49" s="52"/>
    </row>
    <row r="50" spans="3:6" ht="13.5" customHeight="1" x14ac:dyDescent="0.25">
      <c r="C50" s="56"/>
      <c r="D50" s="50"/>
      <c r="E50" s="57"/>
      <c r="F50" s="52"/>
    </row>
    <row r="51" spans="3:6" ht="13.5" customHeight="1" x14ac:dyDescent="0.25">
      <c r="C51" s="56"/>
      <c r="D51" s="50"/>
      <c r="E51" s="57"/>
      <c r="F51" s="52"/>
    </row>
    <row r="52" spans="3:6" ht="13.5" customHeight="1" x14ac:dyDescent="0.25">
      <c r="C52" s="56"/>
      <c r="D52" s="50"/>
      <c r="E52" s="57"/>
      <c r="F52" s="52"/>
    </row>
    <row r="53" spans="3:6" ht="13.5" customHeight="1" x14ac:dyDescent="0.25">
      <c r="C53" s="56"/>
      <c r="D53" s="50"/>
      <c r="E53" s="57"/>
      <c r="F53" s="52"/>
    </row>
    <row r="54" spans="3:6" ht="13.5" customHeight="1" x14ac:dyDescent="0.25">
      <c r="C54" s="56"/>
      <c r="D54" s="50"/>
      <c r="E54" s="57"/>
      <c r="F54" s="52"/>
    </row>
    <row r="55" spans="3:6" ht="13.5" customHeight="1" x14ac:dyDescent="0.25">
      <c r="C55" s="56"/>
      <c r="D55" s="50"/>
      <c r="E55" s="57"/>
      <c r="F55" s="52"/>
    </row>
    <row r="56" spans="3:6" ht="13.5" customHeight="1" x14ac:dyDescent="0.25">
      <c r="C56" s="56"/>
      <c r="D56" s="50"/>
      <c r="E56" s="57"/>
      <c r="F56" s="52"/>
    </row>
    <row r="57" spans="3:6" ht="13.5" customHeight="1" x14ac:dyDescent="0.25">
      <c r="C57" s="56"/>
      <c r="D57" s="50"/>
      <c r="E57" s="57"/>
      <c r="F57" s="52"/>
    </row>
    <row r="58" spans="3:6" ht="13.5" customHeight="1" x14ac:dyDescent="0.25">
      <c r="C58" s="56"/>
      <c r="D58" s="50"/>
      <c r="E58" s="57"/>
      <c r="F58" s="52"/>
    </row>
    <row r="59" spans="3:6" ht="13.5" customHeight="1" x14ac:dyDescent="0.25">
      <c r="C59" s="56"/>
      <c r="D59" s="50"/>
      <c r="E59" s="57"/>
      <c r="F59" s="52"/>
    </row>
    <row r="60" spans="3:6" ht="13.5" customHeight="1" x14ac:dyDescent="0.25">
      <c r="C60" s="56"/>
      <c r="D60" s="50"/>
      <c r="E60" s="57"/>
      <c r="F60" s="52"/>
    </row>
    <row r="61" spans="3:6" ht="13.5" customHeight="1" x14ac:dyDescent="0.25">
      <c r="C61" s="56"/>
      <c r="D61" s="50"/>
      <c r="E61" s="57"/>
      <c r="F61" s="52"/>
    </row>
    <row r="62" spans="3:6" ht="13.5" customHeight="1" x14ac:dyDescent="0.25">
      <c r="C62" s="56"/>
      <c r="D62" s="50"/>
      <c r="E62" s="57"/>
      <c r="F62" s="52"/>
    </row>
    <row r="63" spans="3:6" ht="13.5" customHeight="1" x14ac:dyDescent="0.25">
      <c r="C63" s="56"/>
      <c r="D63" s="50"/>
      <c r="E63" s="57"/>
      <c r="F63" s="52"/>
    </row>
    <row r="64" spans="3:6" ht="13.5" customHeight="1" x14ac:dyDescent="0.25">
      <c r="C64" s="56"/>
      <c r="D64" s="50"/>
      <c r="E64" s="57"/>
      <c r="F64" s="52"/>
    </row>
    <row r="65" spans="3:6" ht="13.5" customHeight="1" x14ac:dyDescent="0.25">
      <c r="C65" s="56"/>
      <c r="D65" s="50"/>
      <c r="E65" s="57"/>
      <c r="F65" s="52"/>
    </row>
    <row r="66" spans="3:6" ht="13.5" customHeight="1" x14ac:dyDescent="0.25">
      <c r="C66" s="56"/>
      <c r="D66" s="50"/>
      <c r="E66" s="57"/>
      <c r="F66" s="52"/>
    </row>
    <row r="67" spans="3:6" ht="13.5" customHeight="1" x14ac:dyDescent="0.25">
      <c r="C67" s="56"/>
      <c r="D67" s="50"/>
      <c r="E67" s="57"/>
      <c r="F67" s="52"/>
    </row>
    <row r="68" spans="3:6" ht="13.5" customHeight="1" x14ac:dyDescent="0.25">
      <c r="C68" s="56"/>
      <c r="D68" s="50"/>
      <c r="E68" s="57"/>
      <c r="F68" s="52"/>
    </row>
    <row r="69" spans="3:6" ht="13.5" customHeight="1" x14ac:dyDescent="0.25">
      <c r="C69" s="56"/>
      <c r="D69" s="50"/>
      <c r="E69" s="57"/>
      <c r="F69" s="52"/>
    </row>
    <row r="70" spans="3:6" ht="13.5" customHeight="1" x14ac:dyDescent="0.25">
      <c r="C70" s="56"/>
      <c r="D70" s="50"/>
      <c r="E70" s="57"/>
      <c r="F70" s="52"/>
    </row>
    <row r="71" spans="3:6" ht="13.5" customHeight="1" x14ac:dyDescent="0.25">
      <c r="C71" s="56"/>
      <c r="D71" s="50"/>
      <c r="E71" s="57"/>
      <c r="F71" s="52"/>
    </row>
    <row r="72" spans="3:6" ht="13.5" customHeight="1" x14ac:dyDescent="0.25">
      <c r="C72" s="56"/>
      <c r="D72" s="50"/>
      <c r="E72" s="57"/>
      <c r="F72" s="52"/>
    </row>
    <row r="73" spans="3:6" ht="13.5" customHeight="1" x14ac:dyDescent="0.25">
      <c r="C73" s="56"/>
      <c r="D73" s="50"/>
      <c r="E73" s="57"/>
      <c r="F73" s="52"/>
    </row>
    <row r="74" spans="3:6" ht="13.5" customHeight="1" x14ac:dyDescent="0.25">
      <c r="C74" s="56"/>
      <c r="D74" s="50"/>
      <c r="E74" s="57"/>
      <c r="F74" s="52"/>
    </row>
    <row r="75" spans="3:6" ht="13.5" customHeight="1" x14ac:dyDescent="0.25">
      <c r="C75" s="56"/>
      <c r="D75" s="50"/>
      <c r="E75" s="57"/>
      <c r="F75" s="52"/>
    </row>
    <row r="76" spans="3:6" ht="13.5" customHeight="1" x14ac:dyDescent="0.25">
      <c r="C76" s="56"/>
      <c r="D76" s="50"/>
      <c r="E76" s="57"/>
      <c r="F76" s="52"/>
    </row>
    <row r="77" spans="3:6" ht="13.5" customHeight="1" x14ac:dyDescent="0.25">
      <c r="C77" s="56"/>
      <c r="D77" s="50"/>
      <c r="E77" s="57"/>
      <c r="F77" s="52"/>
    </row>
    <row r="78" spans="3:6" ht="13.5" customHeight="1" x14ac:dyDescent="0.25">
      <c r="C78" s="56"/>
      <c r="D78" s="50"/>
      <c r="E78" s="57"/>
      <c r="F78" s="52"/>
    </row>
    <row r="79" spans="3:6" ht="13.5" customHeight="1" x14ac:dyDescent="0.25">
      <c r="C79" s="56"/>
      <c r="D79" s="50"/>
      <c r="E79" s="57"/>
      <c r="F79" s="52"/>
    </row>
    <row r="80" spans="3:6" ht="13.5" customHeight="1" x14ac:dyDescent="0.25">
      <c r="C80" s="56"/>
      <c r="D80" s="50"/>
      <c r="E80" s="57"/>
      <c r="F80" s="52"/>
    </row>
    <row r="81" spans="3:6" ht="13.5" customHeight="1" x14ac:dyDescent="0.25">
      <c r="C81" s="56"/>
      <c r="D81" s="50"/>
      <c r="E81" s="57"/>
      <c r="F81" s="52"/>
    </row>
    <row r="82" spans="3:6" ht="13.5" customHeight="1" x14ac:dyDescent="0.25">
      <c r="C82" s="56"/>
      <c r="D82" s="50"/>
      <c r="E82" s="57"/>
      <c r="F82" s="52"/>
    </row>
    <row r="83" spans="3:6" ht="13.5" customHeight="1" x14ac:dyDescent="0.25">
      <c r="C83" s="56"/>
      <c r="D83" s="50"/>
      <c r="E83" s="57"/>
      <c r="F83" s="52"/>
    </row>
    <row r="84" spans="3:6" ht="13.5" customHeight="1" x14ac:dyDescent="0.25">
      <c r="C84" s="56"/>
      <c r="D84" s="50"/>
      <c r="E84" s="57"/>
      <c r="F84" s="52"/>
    </row>
    <row r="85" spans="3:6" ht="13.5" customHeight="1" x14ac:dyDescent="0.25">
      <c r="C85" s="56"/>
      <c r="D85" s="50"/>
      <c r="E85" s="57"/>
      <c r="F85" s="52"/>
    </row>
    <row r="86" spans="3:6" ht="13.5" customHeight="1" x14ac:dyDescent="0.25">
      <c r="C86" s="56"/>
      <c r="D86" s="50"/>
      <c r="E86" s="57"/>
      <c r="F86" s="52"/>
    </row>
    <row r="87" spans="3:6" ht="13.5" customHeight="1" x14ac:dyDescent="0.25">
      <c r="C87" s="56"/>
      <c r="D87" s="50"/>
      <c r="E87" s="57"/>
      <c r="F87" s="52"/>
    </row>
    <row r="88" spans="3:6" ht="13.5" customHeight="1" x14ac:dyDescent="0.25">
      <c r="C88" s="56"/>
      <c r="D88" s="50"/>
      <c r="E88" s="57"/>
      <c r="F88" s="52"/>
    </row>
    <row r="89" spans="3:6" ht="13.5" customHeight="1" x14ac:dyDescent="0.25">
      <c r="C89" s="56"/>
      <c r="D89" s="50"/>
      <c r="E89" s="57"/>
      <c r="F89" s="52"/>
    </row>
    <row r="90" spans="3:6" ht="13.5" customHeight="1" x14ac:dyDescent="0.25">
      <c r="C90" s="56"/>
      <c r="D90" s="50"/>
      <c r="E90" s="57"/>
      <c r="F90" s="52"/>
    </row>
    <row r="91" spans="3:6" ht="13.5" customHeight="1" x14ac:dyDescent="0.25">
      <c r="C91" s="56"/>
      <c r="D91" s="50"/>
      <c r="E91" s="57"/>
      <c r="F91" s="52"/>
    </row>
    <row r="92" spans="3:6" ht="13.5" customHeight="1" x14ac:dyDescent="0.25">
      <c r="C92" s="56"/>
      <c r="D92" s="50"/>
      <c r="E92" s="57"/>
      <c r="F92" s="52"/>
    </row>
    <row r="93" spans="3:6" ht="13.5" customHeight="1" x14ac:dyDescent="0.25">
      <c r="C93" s="56"/>
      <c r="D93" s="50"/>
      <c r="E93" s="57"/>
      <c r="F93" s="52"/>
    </row>
    <row r="94" spans="3:6" ht="13.5" customHeight="1" x14ac:dyDescent="0.25">
      <c r="C94" s="56"/>
      <c r="D94" s="50"/>
      <c r="E94" s="57"/>
      <c r="F94" s="52"/>
    </row>
    <row r="95" spans="3:6" ht="13.5" customHeight="1" x14ac:dyDescent="0.25">
      <c r="C95" s="56"/>
      <c r="D95" s="50"/>
      <c r="E95" s="57"/>
      <c r="F95" s="52"/>
    </row>
    <row r="96" spans="3:6" ht="13.5" customHeight="1" x14ac:dyDescent="0.25">
      <c r="C96" s="56"/>
      <c r="D96" s="50"/>
      <c r="E96" s="57"/>
      <c r="F96" s="52"/>
    </row>
    <row r="97" spans="3:6" ht="13.5" customHeight="1" x14ac:dyDescent="0.25">
      <c r="C97" s="56"/>
      <c r="D97" s="50"/>
      <c r="E97" s="57"/>
      <c r="F97" s="52"/>
    </row>
    <row r="98" spans="3:6" ht="13.5" customHeight="1" x14ac:dyDescent="0.25">
      <c r="C98" s="56"/>
      <c r="D98" s="50"/>
      <c r="E98" s="57"/>
      <c r="F98" s="52"/>
    </row>
    <row r="99" spans="3:6" ht="13.5" customHeight="1" x14ac:dyDescent="0.25">
      <c r="C99" s="56"/>
      <c r="D99" s="50"/>
      <c r="E99" s="57"/>
      <c r="F99" s="52"/>
    </row>
    <row r="100" spans="3:6" ht="13.5" customHeight="1" x14ac:dyDescent="0.25">
      <c r="C100" s="56"/>
      <c r="D100" s="50"/>
      <c r="E100" s="57"/>
      <c r="F100" s="52"/>
    </row>
    <row r="101" spans="3:6" ht="13.5" customHeight="1" x14ac:dyDescent="0.25">
      <c r="C101" s="56"/>
      <c r="D101" s="50"/>
      <c r="E101" s="57"/>
      <c r="F101" s="52"/>
    </row>
    <row r="102" spans="3:6" ht="13.5" customHeight="1" x14ac:dyDescent="0.25">
      <c r="C102" s="56"/>
      <c r="D102" s="50"/>
      <c r="E102" s="57"/>
      <c r="F102" s="52"/>
    </row>
    <row r="103" spans="3:6" ht="13.5" customHeight="1" x14ac:dyDescent="0.25">
      <c r="C103" s="56"/>
      <c r="D103" s="50"/>
      <c r="E103" s="57"/>
      <c r="F103" s="52"/>
    </row>
    <row r="104" spans="3:6" ht="13.5" customHeight="1" x14ac:dyDescent="0.25">
      <c r="C104" s="56"/>
      <c r="D104" s="50"/>
      <c r="E104" s="57"/>
      <c r="F104" s="52"/>
    </row>
    <row r="105" spans="3:6" ht="13.5" customHeight="1" x14ac:dyDescent="0.25">
      <c r="C105" s="56"/>
      <c r="D105" s="50"/>
      <c r="E105" s="57"/>
      <c r="F105" s="52"/>
    </row>
    <row r="106" spans="3:6" ht="13.5" customHeight="1" x14ac:dyDescent="0.25">
      <c r="C106" s="56"/>
      <c r="D106" s="50"/>
      <c r="E106" s="57"/>
      <c r="F106" s="52"/>
    </row>
    <row r="107" spans="3:6" ht="13.5" customHeight="1" x14ac:dyDescent="0.25">
      <c r="C107" s="56"/>
      <c r="D107" s="50"/>
      <c r="E107" s="57"/>
      <c r="F107" s="52"/>
    </row>
    <row r="108" spans="3:6" ht="13.5" customHeight="1" x14ac:dyDescent="0.25">
      <c r="C108" s="56"/>
      <c r="D108" s="50"/>
      <c r="E108" s="57"/>
      <c r="F108" s="52"/>
    </row>
    <row r="109" spans="3:6" ht="13.5" customHeight="1" x14ac:dyDescent="0.25">
      <c r="C109" s="56"/>
      <c r="D109" s="50"/>
      <c r="E109" s="57"/>
      <c r="F109" s="52"/>
    </row>
    <row r="110" spans="3:6" ht="13.5" customHeight="1" x14ac:dyDescent="0.25">
      <c r="C110" s="56"/>
      <c r="D110" s="50"/>
      <c r="E110" s="57"/>
      <c r="F110" s="52"/>
    </row>
    <row r="111" spans="3:6" ht="13.5" customHeight="1" x14ac:dyDescent="0.25">
      <c r="C111" s="56"/>
      <c r="D111" s="50"/>
      <c r="E111" s="57"/>
      <c r="F111" s="52"/>
    </row>
    <row r="112" spans="3:6" ht="13.5" customHeight="1" x14ac:dyDescent="0.25">
      <c r="C112" s="56"/>
      <c r="D112" s="50"/>
      <c r="E112" s="57"/>
      <c r="F112" s="52"/>
    </row>
    <row r="113" spans="3:6" ht="13.5" customHeight="1" x14ac:dyDescent="0.25">
      <c r="C113" s="56"/>
      <c r="D113" s="50"/>
      <c r="E113" s="57"/>
      <c r="F113" s="52"/>
    </row>
    <row r="114" spans="3:6" ht="13.5" customHeight="1" x14ac:dyDescent="0.25">
      <c r="C114" s="56"/>
      <c r="D114" s="50"/>
      <c r="E114" s="57"/>
      <c r="F114" s="52"/>
    </row>
    <row r="115" spans="3:6" ht="13.5" customHeight="1" x14ac:dyDescent="0.25">
      <c r="C115" s="56"/>
      <c r="D115" s="50"/>
      <c r="E115" s="57"/>
      <c r="F115" s="52"/>
    </row>
    <row r="116" spans="3:6" ht="13.5" customHeight="1" x14ac:dyDescent="0.25">
      <c r="C116" s="56"/>
      <c r="D116" s="50"/>
      <c r="E116" s="57"/>
      <c r="F116" s="52"/>
    </row>
    <row r="117" spans="3:6" ht="13.5" customHeight="1" x14ac:dyDescent="0.25">
      <c r="C117" s="56"/>
      <c r="D117" s="50"/>
      <c r="E117" s="57"/>
      <c r="F117" s="52"/>
    </row>
    <row r="118" spans="3:6" ht="13.5" customHeight="1" x14ac:dyDescent="0.25">
      <c r="C118" s="56"/>
      <c r="D118" s="50"/>
      <c r="E118" s="57"/>
      <c r="F118" s="52"/>
    </row>
    <row r="119" spans="3:6" ht="13.5" customHeight="1" x14ac:dyDescent="0.25">
      <c r="C119" s="56"/>
      <c r="D119" s="50"/>
      <c r="E119" s="57"/>
      <c r="F119" s="52"/>
    </row>
    <row r="120" spans="3:6" ht="13.5" customHeight="1" x14ac:dyDescent="0.25">
      <c r="C120" s="56"/>
      <c r="D120" s="50"/>
      <c r="E120" s="57"/>
      <c r="F120" s="52"/>
    </row>
    <row r="121" spans="3:6" ht="13.5" customHeight="1" x14ac:dyDescent="0.25">
      <c r="C121" s="56"/>
      <c r="D121" s="50"/>
      <c r="E121" s="57"/>
      <c r="F121" s="52"/>
    </row>
    <row r="122" spans="3:6" ht="13.5" customHeight="1" x14ac:dyDescent="0.25">
      <c r="C122" s="56"/>
      <c r="D122" s="50"/>
      <c r="E122" s="57"/>
      <c r="F122" s="52"/>
    </row>
    <row r="123" spans="3:6" ht="13.5" customHeight="1" x14ac:dyDescent="0.25">
      <c r="C123" s="56"/>
      <c r="D123" s="50"/>
      <c r="E123" s="57"/>
      <c r="F123" s="52"/>
    </row>
    <row r="124" spans="3:6" ht="13.5" customHeight="1" x14ac:dyDescent="0.25">
      <c r="C124" s="56"/>
      <c r="D124" s="50"/>
      <c r="E124" s="57"/>
      <c r="F124" s="52"/>
    </row>
    <row r="125" spans="3:6" ht="13.5" customHeight="1" x14ac:dyDescent="0.25">
      <c r="C125" s="56"/>
      <c r="D125" s="50"/>
      <c r="E125" s="57"/>
      <c r="F125" s="52"/>
    </row>
    <row r="126" spans="3:6" ht="13.5" customHeight="1" x14ac:dyDescent="0.25">
      <c r="C126" s="56"/>
      <c r="D126" s="50"/>
      <c r="E126" s="57"/>
      <c r="F126" s="52"/>
    </row>
    <row r="127" spans="3:6" ht="13.5" customHeight="1" x14ac:dyDescent="0.25">
      <c r="C127" s="56"/>
      <c r="D127" s="50"/>
      <c r="E127" s="57"/>
      <c r="F127" s="52"/>
    </row>
    <row r="128" spans="3:6" ht="13.5" customHeight="1" x14ac:dyDescent="0.25">
      <c r="C128" s="56"/>
      <c r="D128" s="50"/>
      <c r="E128" s="57"/>
      <c r="F128" s="52"/>
    </row>
    <row r="129" spans="3:6" ht="13.5" customHeight="1" x14ac:dyDescent="0.25">
      <c r="C129" s="56"/>
      <c r="D129" s="50"/>
      <c r="E129" s="57"/>
      <c r="F129" s="52"/>
    </row>
    <row r="130" spans="3:6" ht="13.5" customHeight="1" x14ac:dyDescent="0.25">
      <c r="C130" s="56"/>
      <c r="D130" s="50"/>
      <c r="E130" s="57"/>
      <c r="F130" s="52"/>
    </row>
    <row r="131" spans="3:6" ht="13.5" customHeight="1" x14ac:dyDescent="0.25">
      <c r="C131" s="56"/>
      <c r="D131" s="50"/>
      <c r="E131" s="57"/>
      <c r="F131" s="52"/>
    </row>
    <row r="132" spans="3:6" ht="13.5" customHeight="1" x14ac:dyDescent="0.25">
      <c r="C132" s="56"/>
      <c r="D132" s="50"/>
      <c r="E132" s="57"/>
      <c r="F132" s="52"/>
    </row>
    <row r="133" spans="3:6" ht="13.5" customHeight="1" x14ac:dyDescent="0.25">
      <c r="C133" s="56"/>
      <c r="D133" s="50"/>
      <c r="E133" s="57"/>
      <c r="F133" s="52"/>
    </row>
    <row r="134" spans="3:6" ht="13.5" customHeight="1" x14ac:dyDescent="0.25">
      <c r="C134" s="56"/>
      <c r="D134" s="50"/>
      <c r="E134" s="57"/>
      <c r="F134" s="52"/>
    </row>
    <row r="135" spans="3:6" ht="13.5" customHeight="1" x14ac:dyDescent="0.25">
      <c r="C135" s="56"/>
      <c r="D135" s="50"/>
      <c r="E135" s="57"/>
      <c r="F135" s="52"/>
    </row>
    <row r="136" spans="3:6" ht="13.5" customHeight="1" x14ac:dyDescent="0.25">
      <c r="C136" s="56"/>
      <c r="D136" s="50"/>
      <c r="E136" s="57"/>
      <c r="F136" s="52"/>
    </row>
    <row r="137" spans="3:6" ht="13.5" customHeight="1" x14ac:dyDescent="0.25">
      <c r="C137" s="56"/>
      <c r="D137" s="50"/>
      <c r="E137" s="57"/>
      <c r="F137" s="52"/>
    </row>
    <row r="138" spans="3:6" ht="13.5" customHeight="1" x14ac:dyDescent="0.25">
      <c r="C138" s="56"/>
      <c r="D138" s="50"/>
      <c r="E138" s="57"/>
      <c r="F138" s="52"/>
    </row>
    <row r="139" spans="3:6" ht="13.5" customHeight="1" x14ac:dyDescent="0.25">
      <c r="C139" s="56"/>
      <c r="D139" s="50"/>
      <c r="E139" s="57"/>
      <c r="F139" s="52"/>
    </row>
    <row r="140" spans="3:6" ht="13.5" customHeight="1" x14ac:dyDescent="0.25">
      <c r="C140" s="56"/>
      <c r="D140" s="50"/>
      <c r="E140" s="57"/>
      <c r="F140" s="52"/>
    </row>
    <row r="141" spans="3:6" ht="13.5" customHeight="1" x14ac:dyDescent="0.25">
      <c r="C141" s="56"/>
      <c r="D141" s="50"/>
      <c r="E141" s="57"/>
      <c r="F141" s="52"/>
    </row>
    <row r="142" spans="3:6" ht="13.5" customHeight="1" x14ac:dyDescent="0.25">
      <c r="C142" s="56"/>
      <c r="D142" s="50"/>
      <c r="E142" s="57"/>
      <c r="F142" s="52"/>
    </row>
    <row r="143" spans="3:6" ht="13.5" customHeight="1" x14ac:dyDescent="0.25">
      <c r="C143" s="56"/>
      <c r="D143" s="50"/>
      <c r="E143" s="57"/>
      <c r="F143" s="52"/>
    </row>
    <row r="144" spans="3:6" ht="13.5" customHeight="1" x14ac:dyDescent="0.25">
      <c r="C144" s="56"/>
      <c r="D144" s="50"/>
      <c r="E144" s="57"/>
      <c r="F144" s="52"/>
    </row>
    <row r="145" spans="3:6" ht="13.5" customHeight="1" x14ac:dyDescent="0.25">
      <c r="C145" s="56"/>
      <c r="D145" s="50"/>
      <c r="E145" s="57"/>
      <c r="F145" s="52"/>
    </row>
    <row r="146" spans="3:6" ht="13.5" customHeight="1" x14ac:dyDescent="0.25">
      <c r="C146" s="56"/>
      <c r="D146" s="50"/>
      <c r="E146" s="57"/>
      <c r="F146" s="52"/>
    </row>
    <row r="147" spans="3:6" ht="13.5" customHeight="1" x14ac:dyDescent="0.25">
      <c r="C147" s="56"/>
      <c r="D147" s="50"/>
      <c r="E147" s="57"/>
      <c r="F147" s="52"/>
    </row>
    <row r="148" spans="3:6" ht="13.5" customHeight="1" x14ac:dyDescent="0.25">
      <c r="C148" s="56"/>
      <c r="D148" s="50"/>
      <c r="E148" s="57"/>
      <c r="F148" s="52"/>
    </row>
    <row r="149" spans="3:6" ht="13.5" customHeight="1" x14ac:dyDescent="0.25">
      <c r="C149" s="56"/>
      <c r="D149" s="50"/>
      <c r="E149" s="57"/>
      <c r="F149" s="52"/>
    </row>
    <row r="150" spans="3:6" ht="13.5" customHeight="1" x14ac:dyDescent="0.25">
      <c r="C150" s="56"/>
      <c r="D150" s="50"/>
      <c r="E150" s="57"/>
      <c r="F150" s="52"/>
    </row>
    <row r="151" spans="3:6" ht="13.5" customHeight="1" x14ac:dyDescent="0.25">
      <c r="C151" s="56"/>
      <c r="D151" s="50"/>
      <c r="E151" s="57"/>
      <c r="F151" s="52"/>
    </row>
    <row r="152" spans="3:6" ht="13.5" customHeight="1" x14ac:dyDescent="0.25">
      <c r="C152" s="56"/>
      <c r="D152" s="50"/>
      <c r="E152" s="57"/>
      <c r="F152" s="52"/>
    </row>
    <row r="153" spans="3:6" ht="13.5" customHeight="1" x14ac:dyDescent="0.25">
      <c r="C153" s="56"/>
      <c r="D153" s="50"/>
      <c r="E153" s="57"/>
      <c r="F153" s="52"/>
    </row>
    <row r="154" spans="3:6" ht="13.5" customHeight="1" x14ac:dyDescent="0.25">
      <c r="C154" s="56"/>
      <c r="D154" s="50"/>
      <c r="E154" s="57"/>
      <c r="F154" s="52"/>
    </row>
    <row r="155" spans="3:6" ht="13.5" customHeight="1" x14ac:dyDescent="0.25">
      <c r="C155" s="56"/>
      <c r="D155" s="50"/>
      <c r="E155" s="57"/>
      <c r="F155" s="52"/>
    </row>
    <row r="156" spans="3:6" ht="13.5" customHeight="1" x14ac:dyDescent="0.25">
      <c r="C156" s="56"/>
      <c r="D156" s="50"/>
      <c r="E156" s="57"/>
      <c r="F156" s="52"/>
    </row>
    <row r="157" spans="3:6" ht="13.5" customHeight="1" x14ac:dyDescent="0.25">
      <c r="C157" s="56"/>
      <c r="D157" s="50"/>
      <c r="E157" s="57"/>
      <c r="F157" s="52"/>
    </row>
    <row r="158" spans="3:6" ht="13.5" customHeight="1" x14ac:dyDescent="0.25">
      <c r="C158" s="56"/>
      <c r="D158" s="50"/>
      <c r="E158" s="57"/>
      <c r="F158" s="52"/>
    </row>
    <row r="159" spans="3:6" ht="13.5" customHeight="1" x14ac:dyDescent="0.25">
      <c r="C159" s="56"/>
      <c r="D159" s="50"/>
      <c r="E159" s="57"/>
      <c r="F159" s="52"/>
    </row>
    <row r="160" spans="3:6" ht="13.5" customHeight="1" x14ac:dyDescent="0.25">
      <c r="C160" s="56"/>
      <c r="D160" s="50"/>
      <c r="E160" s="57"/>
      <c r="F160" s="52"/>
    </row>
    <row r="161" spans="3:6" ht="13.5" customHeight="1" x14ac:dyDescent="0.25">
      <c r="C161" s="56"/>
      <c r="D161" s="50"/>
      <c r="E161" s="57"/>
      <c r="F161" s="52"/>
    </row>
    <row r="162" spans="3:6" ht="13.5" customHeight="1" x14ac:dyDescent="0.25">
      <c r="C162" s="56"/>
      <c r="D162" s="50"/>
      <c r="E162" s="57"/>
      <c r="F162" s="52"/>
    </row>
    <row r="163" spans="3:6" ht="13.5" customHeight="1" x14ac:dyDescent="0.25">
      <c r="C163" s="56"/>
      <c r="D163" s="50"/>
      <c r="E163" s="57"/>
      <c r="F163" s="52"/>
    </row>
    <row r="164" spans="3:6" ht="13.5" customHeight="1" x14ac:dyDescent="0.25">
      <c r="C164" s="56"/>
      <c r="D164" s="50"/>
      <c r="E164" s="57"/>
      <c r="F164" s="52"/>
    </row>
    <row r="165" spans="3:6" ht="13.5" customHeight="1" x14ac:dyDescent="0.25">
      <c r="C165" s="56"/>
      <c r="D165" s="50"/>
      <c r="E165" s="57"/>
      <c r="F165" s="52"/>
    </row>
    <row r="166" spans="3:6" ht="13.5" customHeight="1" x14ac:dyDescent="0.25">
      <c r="C166" s="56"/>
      <c r="D166" s="50"/>
      <c r="E166" s="57"/>
      <c r="F166" s="52"/>
    </row>
    <row r="167" spans="3:6" ht="13.5" customHeight="1" x14ac:dyDescent="0.25">
      <c r="C167" s="56"/>
      <c r="D167" s="50"/>
      <c r="E167" s="57"/>
      <c r="F167" s="52"/>
    </row>
    <row r="168" spans="3:6" ht="13.5" customHeight="1" x14ac:dyDescent="0.25">
      <c r="C168" s="56"/>
      <c r="D168" s="50"/>
      <c r="E168" s="57"/>
      <c r="F168" s="52"/>
    </row>
    <row r="169" spans="3:6" ht="13.5" customHeight="1" x14ac:dyDescent="0.25">
      <c r="C169" s="56"/>
      <c r="D169" s="50"/>
      <c r="E169" s="57"/>
      <c r="F169" s="52"/>
    </row>
    <row r="170" spans="3:6" ht="13.5" customHeight="1" x14ac:dyDescent="0.25">
      <c r="C170" s="56"/>
      <c r="D170" s="50"/>
      <c r="E170" s="57"/>
      <c r="F170" s="52"/>
    </row>
    <row r="171" spans="3:6" ht="13.5" customHeight="1" x14ac:dyDescent="0.25">
      <c r="C171" s="56"/>
      <c r="D171" s="50"/>
      <c r="E171" s="57"/>
      <c r="F171" s="52"/>
    </row>
    <row r="172" spans="3:6" ht="13.5" customHeight="1" x14ac:dyDescent="0.25">
      <c r="C172" s="56"/>
      <c r="D172" s="50"/>
      <c r="E172" s="57"/>
      <c r="F172" s="52"/>
    </row>
    <row r="173" spans="3:6" ht="13.5" customHeight="1" x14ac:dyDescent="0.25">
      <c r="C173" s="56"/>
      <c r="D173" s="50"/>
      <c r="E173" s="57"/>
      <c r="F173" s="52"/>
    </row>
    <row r="174" spans="3:6" ht="13.5" customHeight="1" x14ac:dyDescent="0.25">
      <c r="C174" s="56"/>
      <c r="D174" s="50"/>
      <c r="E174" s="57"/>
      <c r="F174" s="52"/>
    </row>
    <row r="175" spans="3:6" ht="13.5" customHeight="1" x14ac:dyDescent="0.25">
      <c r="C175" s="56"/>
      <c r="D175" s="50"/>
      <c r="E175" s="57"/>
      <c r="F175" s="52"/>
    </row>
    <row r="176" spans="3:6" ht="13.5" customHeight="1" x14ac:dyDescent="0.25">
      <c r="C176" s="56"/>
      <c r="D176" s="50"/>
      <c r="E176" s="57"/>
      <c r="F176" s="52"/>
    </row>
    <row r="177" spans="3:6" ht="13.5" customHeight="1" x14ac:dyDescent="0.25">
      <c r="C177" s="56"/>
      <c r="D177" s="50"/>
      <c r="E177" s="57"/>
      <c r="F177" s="52"/>
    </row>
    <row r="178" spans="3:6" ht="13.5" customHeight="1" x14ac:dyDescent="0.25">
      <c r="C178" s="56"/>
      <c r="D178" s="50"/>
      <c r="E178" s="57"/>
      <c r="F178" s="52"/>
    </row>
    <row r="179" spans="3:6" ht="13.5" customHeight="1" x14ac:dyDescent="0.25">
      <c r="C179" s="56"/>
      <c r="D179" s="50"/>
      <c r="E179" s="57"/>
      <c r="F179" s="52"/>
    </row>
    <row r="180" spans="3:6" ht="13.5" customHeight="1" x14ac:dyDescent="0.25">
      <c r="C180" s="56"/>
      <c r="D180" s="50"/>
      <c r="E180" s="57"/>
      <c r="F180" s="52"/>
    </row>
    <row r="181" spans="3:6" ht="13.5" customHeight="1" x14ac:dyDescent="0.25">
      <c r="C181" s="56"/>
      <c r="D181" s="50"/>
      <c r="E181" s="57"/>
      <c r="F181" s="52"/>
    </row>
    <row r="182" spans="3:6" ht="13.5" customHeight="1" x14ac:dyDescent="0.25">
      <c r="C182" s="56"/>
      <c r="D182" s="50"/>
      <c r="E182" s="57"/>
      <c r="F182" s="52"/>
    </row>
    <row r="183" spans="3:6" ht="13.5" customHeight="1" x14ac:dyDescent="0.25">
      <c r="C183" s="56"/>
      <c r="D183" s="50"/>
      <c r="E183" s="57"/>
      <c r="F183" s="52"/>
    </row>
    <row r="184" spans="3:6" ht="13.5" customHeight="1" x14ac:dyDescent="0.25">
      <c r="C184" s="56"/>
      <c r="D184" s="50"/>
      <c r="E184" s="57"/>
      <c r="F184" s="52"/>
    </row>
    <row r="185" spans="3:6" ht="13.5" customHeight="1" x14ac:dyDescent="0.25">
      <c r="C185" s="56"/>
      <c r="D185" s="50"/>
      <c r="E185" s="57"/>
      <c r="F185" s="52"/>
    </row>
    <row r="186" spans="3:6" ht="13.5" customHeight="1" x14ac:dyDescent="0.25">
      <c r="C186" s="56"/>
      <c r="D186" s="50"/>
      <c r="E186" s="57"/>
      <c r="F186" s="52"/>
    </row>
    <row r="187" spans="3:6" ht="13.5" customHeight="1" x14ac:dyDescent="0.25">
      <c r="C187" s="56"/>
      <c r="D187" s="50"/>
      <c r="E187" s="57"/>
      <c r="F187" s="52"/>
    </row>
    <row r="188" spans="3:6" ht="13.5" customHeight="1" x14ac:dyDescent="0.25">
      <c r="C188" s="56"/>
      <c r="D188" s="50"/>
      <c r="E188" s="57"/>
      <c r="F188" s="52"/>
    </row>
    <row r="189" spans="3:6" ht="13.5" customHeight="1" x14ac:dyDescent="0.25">
      <c r="C189" s="56"/>
      <c r="D189" s="50"/>
      <c r="E189" s="57"/>
      <c r="F189" s="52"/>
    </row>
    <row r="190" spans="3:6" ht="13.5" customHeight="1" x14ac:dyDescent="0.25">
      <c r="C190" s="56"/>
      <c r="D190" s="50"/>
      <c r="E190" s="57"/>
      <c r="F190" s="52"/>
    </row>
    <row r="191" spans="3:6" ht="13.5" customHeight="1" x14ac:dyDescent="0.25">
      <c r="C191" s="56"/>
      <c r="D191" s="50"/>
      <c r="E191" s="57"/>
      <c r="F191" s="52"/>
    </row>
    <row r="192" spans="3:6" ht="13.5" customHeight="1" x14ac:dyDescent="0.25">
      <c r="C192" s="56"/>
      <c r="D192" s="50"/>
      <c r="E192" s="57"/>
      <c r="F192" s="52"/>
    </row>
    <row r="193" spans="3:6" ht="13.5" customHeight="1" x14ac:dyDescent="0.25">
      <c r="C193" s="56"/>
      <c r="D193" s="50"/>
      <c r="E193" s="57"/>
      <c r="F193" s="52"/>
    </row>
    <row r="194" spans="3:6" ht="13.5" customHeight="1" x14ac:dyDescent="0.25">
      <c r="C194" s="56"/>
      <c r="D194" s="50"/>
      <c r="E194" s="57"/>
      <c r="F194" s="52"/>
    </row>
    <row r="195" spans="3:6" ht="13.5" customHeight="1" x14ac:dyDescent="0.25">
      <c r="C195" s="56"/>
      <c r="D195" s="50"/>
      <c r="E195" s="57"/>
      <c r="F195" s="52"/>
    </row>
    <row r="196" spans="3:6" ht="13.5" customHeight="1" x14ac:dyDescent="0.25">
      <c r="C196" s="56"/>
      <c r="D196" s="50"/>
      <c r="E196" s="57"/>
      <c r="F196" s="52"/>
    </row>
    <row r="197" spans="3:6" ht="13.5" customHeight="1" x14ac:dyDescent="0.25">
      <c r="C197" s="56"/>
      <c r="D197" s="50"/>
      <c r="E197" s="57"/>
      <c r="F197" s="52"/>
    </row>
    <row r="198" spans="3:6" ht="13.5" customHeight="1" x14ac:dyDescent="0.25">
      <c r="C198" s="56"/>
      <c r="D198" s="50"/>
      <c r="E198" s="57"/>
      <c r="F198" s="52"/>
    </row>
    <row r="199" spans="3:6" ht="13.5" customHeight="1" x14ac:dyDescent="0.25">
      <c r="C199" s="56"/>
      <c r="D199" s="50"/>
      <c r="E199" s="57"/>
      <c r="F199" s="52"/>
    </row>
    <row r="200" spans="3:6" ht="13.5" customHeight="1" x14ac:dyDescent="0.25">
      <c r="C200" s="56"/>
      <c r="D200" s="50"/>
      <c r="E200" s="57"/>
      <c r="F200" s="52"/>
    </row>
    <row r="201" spans="3:6" ht="13.5" customHeight="1" x14ac:dyDescent="0.25">
      <c r="C201" s="56"/>
      <c r="D201" s="50"/>
      <c r="E201" s="57"/>
      <c r="F201" s="52"/>
    </row>
    <row r="202" spans="3:6" ht="13.5" customHeight="1" x14ac:dyDescent="0.25">
      <c r="C202" s="56"/>
      <c r="D202" s="50"/>
      <c r="E202" s="57"/>
      <c r="F202" s="52"/>
    </row>
    <row r="203" spans="3:6" ht="13.5" customHeight="1" x14ac:dyDescent="0.25">
      <c r="C203" s="56"/>
      <c r="D203" s="50"/>
      <c r="E203" s="57"/>
      <c r="F203" s="52"/>
    </row>
    <row r="204" spans="3:6" ht="13.5" customHeight="1" x14ac:dyDescent="0.25">
      <c r="C204" s="56"/>
      <c r="D204" s="50"/>
      <c r="E204" s="57"/>
      <c r="F204" s="52"/>
    </row>
    <row r="205" spans="3:6" ht="13.5" customHeight="1" x14ac:dyDescent="0.25">
      <c r="C205" s="56"/>
      <c r="D205" s="50"/>
      <c r="E205" s="57"/>
      <c r="F205" s="52"/>
    </row>
    <row r="206" spans="3:6" ht="13.5" customHeight="1" x14ac:dyDescent="0.25">
      <c r="C206" s="56"/>
      <c r="D206" s="50"/>
      <c r="E206" s="57"/>
      <c r="F206" s="52"/>
    </row>
    <row r="207" spans="3:6" ht="13.5" customHeight="1" x14ac:dyDescent="0.25">
      <c r="C207" s="56"/>
      <c r="D207" s="50"/>
      <c r="E207" s="57"/>
      <c r="F207" s="52"/>
    </row>
    <row r="208" spans="3:6" ht="13.5" customHeight="1" x14ac:dyDescent="0.25">
      <c r="C208" s="56"/>
      <c r="D208" s="50"/>
      <c r="E208" s="57"/>
      <c r="F208" s="52"/>
    </row>
    <row r="209" spans="3:6" ht="13.5" customHeight="1" x14ac:dyDescent="0.25">
      <c r="C209" s="56"/>
      <c r="D209" s="50"/>
      <c r="E209" s="57"/>
      <c r="F209" s="52"/>
    </row>
    <row r="210" spans="3:6" ht="13.5" customHeight="1" x14ac:dyDescent="0.25">
      <c r="C210" s="56"/>
      <c r="D210" s="50"/>
      <c r="E210" s="57"/>
      <c r="F210" s="52"/>
    </row>
    <row r="211" spans="3:6" ht="13.5" customHeight="1" x14ac:dyDescent="0.25">
      <c r="C211" s="56"/>
      <c r="D211" s="50"/>
      <c r="E211" s="57"/>
      <c r="F211" s="52"/>
    </row>
    <row r="212" spans="3:6" ht="13.5" customHeight="1" x14ac:dyDescent="0.25">
      <c r="C212" s="56"/>
      <c r="D212" s="50"/>
      <c r="E212" s="57"/>
      <c r="F212" s="52"/>
    </row>
    <row r="213" spans="3:6" ht="13.5" customHeight="1" x14ac:dyDescent="0.25">
      <c r="C213" s="56"/>
      <c r="D213" s="50"/>
      <c r="E213" s="57"/>
      <c r="F213" s="52"/>
    </row>
    <row r="214" spans="3:6" ht="13.5" customHeight="1" x14ac:dyDescent="0.25">
      <c r="C214" s="56"/>
      <c r="D214" s="50"/>
      <c r="E214" s="57"/>
      <c r="F214" s="52"/>
    </row>
    <row r="215" spans="3:6" ht="13.5" customHeight="1" x14ac:dyDescent="0.25">
      <c r="C215" s="56"/>
      <c r="D215" s="50"/>
      <c r="E215" s="57"/>
      <c r="F215" s="52"/>
    </row>
    <row r="216" spans="3:6" ht="13.5" customHeight="1" x14ac:dyDescent="0.25">
      <c r="C216" s="56"/>
      <c r="D216" s="50"/>
      <c r="E216" s="57"/>
      <c r="F216" s="52"/>
    </row>
    <row r="217" spans="3:6" ht="13.5" customHeight="1" x14ac:dyDescent="0.25">
      <c r="C217" s="56"/>
      <c r="D217" s="50"/>
      <c r="E217" s="57"/>
      <c r="F217" s="52"/>
    </row>
    <row r="218" spans="3:6" ht="13.5" customHeight="1" x14ac:dyDescent="0.25">
      <c r="C218" s="56"/>
      <c r="D218" s="50"/>
      <c r="E218" s="57"/>
      <c r="F218" s="52"/>
    </row>
    <row r="219" spans="3:6" ht="13.5" customHeight="1" x14ac:dyDescent="0.25">
      <c r="C219" s="56"/>
      <c r="D219" s="50"/>
      <c r="E219" s="57"/>
      <c r="F219" s="52"/>
    </row>
    <row r="220" spans="3:6" ht="13.5" customHeight="1" x14ac:dyDescent="0.25">
      <c r="C220" s="56"/>
      <c r="D220" s="50"/>
      <c r="E220" s="57"/>
      <c r="F220" s="52"/>
    </row>
    <row r="221" spans="3:6" ht="13.5" customHeight="1" x14ac:dyDescent="0.25">
      <c r="C221" s="56"/>
      <c r="D221" s="50"/>
      <c r="E221" s="57"/>
      <c r="F221" s="52"/>
    </row>
    <row r="222" spans="3:6" ht="13.5" customHeight="1" x14ac:dyDescent="0.25">
      <c r="C222" s="56"/>
      <c r="D222" s="50"/>
      <c r="E222" s="57"/>
      <c r="F222" s="52"/>
    </row>
    <row r="223" spans="3:6" ht="13.5" customHeight="1" x14ac:dyDescent="0.25">
      <c r="C223" s="56"/>
      <c r="D223" s="50"/>
      <c r="E223" s="57"/>
      <c r="F223" s="52"/>
    </row>
    <row r="224" spans="3:6" ht="13.5" customHeight="1" x14ac:dyDescent="0.25">
      <c r="C224" s="56"/>
      <c r="D224" s="50"/>
      <c r="E224" s="57"/>
      <c r="F224" s="52"/>
    </row>
    <row r="225" spans="3:6" ht="13.5" customHeight="1" x14ac:dyDescent="0.25">
      <c r="C225" s="56"/>
      <c r="D225" s="50"/>
      <c r="E225" s="57"/>
      <c r="F225" s="52"/>
    </row>
    <row r="226" spans="3:6" ht="13.5" customHeight="1" x14ac:dyDescent="0.25">
      <c r="C226" s="56"/>
      <c r="D226" s="50"/>
      <c r="E226" s="57"/>
      <c r="F226" s="52"/>
    </row>
    <row r="227" spans="3:6" ht="13.5" customHeight="1" x14ac:dyDescent="0.25">
      <c r="C227" s="56"/>
      <c r="D227" s="50"/>
      <c r="E227" s="57"/>
      <c r="F227" s="52"/>
    </row>
    <row r="228" spans="3:6" ht="13.5" customHeight="1" x14ac:dyDescent="0.25">
      <c r="C228" s="56"/>
      <c r="D228" s="50"/>
      <c r="E228" s="57"/>
      <c r="F228" s="52"/>
    </row>
    <row r="229" spans="3:6" ht="13.5" customHeight="1" x14ac:dyDescent="0.25">
      <c r="C229" s="56"/>
      <c r="D229" s="50"/>
      <c r="E229" s="57"/>
      <c r="F229" s="52"/>
    </row>
    <row r="230" spans="3:6" ht="13.5" customHeight="1" x14ac:dyDescent="0.25">
      <c r="C230" s="56"/>
      <c r="D230" s="50"/>
      <c r="E230" s="57"/>
      <c r="F230" s="52"/>
    </row>
    <row r="231" spans="3:6" ht="13.5" customHeight="1" x14ac:dyDescent="0.25">
      <c r="C231" s="56"/>
      <c r="D231" s="50"/>
      <c r="E231" s="57"/>
      <c r="F231" s="52"/>
    </row>
    <row r="232" spans="3:6" ht="13.5" customHeight="1" x14ac:dyDescent="0.25">
      <c r="C232" s="56"/>
      <c r="D232" s="50"/>
      <c r="E232" s="57"/>
      <c r="F232" s="52"/>
    </row>
    <row r="233" spans="3:6" ht="13.5" customHeight="1" x14ac:dyDescent="0.25">
      <c r="C233" s="56"/>
      <c r="D233" s="50"/>
      <c r="E233" s="57"/>
      <c r="F233" s="52"/>
    </row>
    <row r="234" spans="3:6" ht="13.5" customHeight="1" x14ac:dyDescent="0.25">
      <c r="C234" s="56"/>
      <c r="D234" s="50"/>
      <c r="E234" s="57"/>
      <c r="F234" s="52"/>
    </row>
    <row r="235" spans="3:6" ht="13.5" customHeight="1" x14ac:dyDescent="0.25">
      <c r="C235" s="56"/>
      <c r="D235" s="50"/>
      <c r="E235" s="57"/>
      <c r="F235" s="52"/>
    </row>
    <row r="236" spans="3:6" ht="13.5" customHeight="1" x14ac:dyDescent="0.25">
      <c r="C236" s="56"/>
      <c r="D236" s="50"/>
      <c r="E236" s="57"/>
      <c r="F236" s="52"/>
    </row>
    <row r="237" spans="3:6" ht="13.5" customHeight="1" x14ac:dyDescent="0.25">
      <c r="C237" s="56"/>
      <c r="D237" s="50"/>
      <c r="E237" s="57"/>
      <c r="F237" s="52"/>
    </row>
    <row r="238" spans="3:6" ht="13.5" customHeight="1" x14ac:dyDescent="0.25">
      <c r="C238" s="56"/>
      <c r="D238" s="50"/>
      <c r="E238" s="57"/>
      <c r="F238" s="52"/>
    </row>
    <row r="239" spans="3:6" ht="13.5" customHeight="1" x14ac:dyDescent="0.25">
      <c r="C239" s="56"/>
      <c r="D239" s="50"/>
      <c r="E239" s="57"/>
      <c r="F239" s="52"/>
    </row>
    <row r="240" spans="3:6" ht="13.5" customHeight="1" x14ac:dyDescent="0.25">
      <c r="C240" s="56"/>
      <c r="D240" s="50"/>
      <c r="E240" s="57"/>
      <c r="F240" s="52"/>
    </row>
    <row r="241" spans="3:6" ht="13.5" customHeight="1" x14ac:dyDescent="0.25">
      <c r="C241" s="56"/>
      <c r="D241" s="50"/>
      <c r="E241" s="57"/>
      <c r="F241" s="52"/>
    </row>
    <row r="242" spans="3:6" ht="13.5" customHeight="1" x14ac:dyDescent="0.25">
      <c r="C242" s="56"/>
      <c r="D242" s="50"/>
      <c r="E242" s="57"/>
      <c r="F242" s="52"/>
    </row>
    <row r="243" spans="3:6" ht="13.5" customHeight="1" x14ac:dyDescent="0.25">
      <c r="C243" s="56"/>
      <c r="D243" s="50"/>
      <c r="E243" s="57"/>
      <c r="F243" s="52"/>
    </row>
    <row r="244" spans="3:6" ht="13.5" customHeight="1" x14ac:dyDescent="0.25">
      <c r="C244" s="56"/>
      <c r="D244" s="50"/>
      <c r="E244" s="57"/>
      <c r="F244" s="52"/>
    </row>
    <row r="245" spans="3:6" ht="13.5" customHeight="1" x14ac:dyDescent="0.25">
      <c r="C245" s="56"/>
      <c r="D245" s="50"/>
      <c r="E245" s="57"/>
      <c r="F245" s="52"/>
    </row>
    <row r="246" spans="3:6" ht="13.5" customHeight="1" x14ac:dyDescent="0.25">
      <c r="C246" s="56"/>
      <c r="D246" s="50"/>
      <c r="E246" s="57"/>
      <c r="F246" s="52"/>
    </row>
    <row r="247" spans="3:6" ht="13.5" customHeight="1" x14ac:dyDescent="0.25">
      <c r="C247" s="56"/>
      <c r="D247" s="50"/>
      <c r="E247" s="57"/>
      <c r="F247" s="52"/>
    </row>
    <row r="248" spans="3:6" ht="13.5" customHeight="1" x14ac:dyDescent="0.25">
      <c r="C248" s="56"/>
      <c r="D248" s="50"/>
      <c r="E248" s="57"/>
      <c r="F248" s="52"/>
    </row>
    <row r="249" spans="3:6" ht="13.5" customHeight="1" x14ac:dyDescent="0.25">
      <c r="C249" s="56"/>
      <c r="D249" s="50"/>
      <c r="E249" s="57"/>
      <c r="F249" s="52"/>
    </row>
    <row r="250" spans="3:6" ht="13.5" customHeight="1" x14ac:dyDescent="0.25">
      <c r="C250" s="56"/>
      <c r="D250" s="50"/>
      <c r="E250" s="57"/>
      <c r="F250" s="52"/>
    </row>
    <row r="251" spans="3:6" ht="13.5" customHeight="1" x14ac:dyDescent="0.25">
      <c r="C251" s="56"/>
      <c r="D251" s="50"/>
      <c r="E251" s="57"/>
      <c r="F251" s="52"/>
    </row>
    <row r="252" spans="3:6" ht="13.5" customHeight="1" x14ac:dyDescent="0.25">
      <c r="C252" s="56"/>
      <c r="D252" s="50"/>
      <c r="E252" s="57"/>
      <c r="F252" s="52"/>
    </row>
    <row r="253" spans="3:6" ht="13.5" customHeight="1" x14ac:dyDescent="0.25">
      <c r="C253" s="56"/>
      <c r="D253" s="50"/>
      <c r="E253" s="57"/>
      <c r="F253" s="52"/>
    </row>
    <row r="254" spans="3:6" ht="13.5" customHeight="1" x14ac:dyDescent="0.25">
      <c r="C254" s="56"/>
      <c r="D254" s="50"/>
      <c r="E254" s="57"/>
      <c r="F254" s="52"/>
    </row>
    <row r="255" spans="3:6" ht="13.5" customHeight="1" x14ac:dyDescent="0.25">
      <c r="C255" s="56"/>
      <c r="D255" s="50"/>
      <c r="E255" s="57"/>
      <c r="F255" s="52"/>
    </row>
    <row r="256" spans="3:6" ht="13.5" customHeight="1" x14ac:dyDescent="0.25">
      <c r="C256" s="56"/>
      <c r="D256" s="50"/>
      <c r="E256" s="57"/>
      <c r="F256" s="52"/>
    </row>
    <row r="257" spans="3:6" ht="13.5" customHeight="1" x14ac:dyDescent="0.25">
      <c r="C257" s="56"/>
      <c r="D257" s="50"/>
      <c r="E257" s="57"/>
      <c r="F257" s="52"/>
    </row>
    <row r="258" spans="3:6" ht="13.5" customHeight="1" x14ac:dyDescent="0.25">
      <c r="C258" s="56"/>
      <c r="D258" s="50"/>
      <c r="E258" s="57"/>
      <c r="F258" s="52"/>
    </row>
    <row r="259" spans="3:6" ht="13.5" customHeight="1" x14ac:dyDescent="0.25">
      <c r="C259" s="56"/>
      <c r="D259" s="50"/>
      <c r="E259" s="57"/>
      <c r="F259" s="52"/>
    </row>
    <row r="260" spans="3:6" ht="13.5" customHeight="1" x14ac:dyDescent="0.25">
      <c r="C260" s="56"/>
      <c r="D260" s="50"/>
      <c r="E260" s="57"/>
      <c r="F260" s="52"/>
    </row>
    <row r="261" spans="3:6" ht="13.5" customHeight="1" x14ac:dyDescent="0.25">
      <c r="C261" s="56"/>
      <c r="D261" s="50"/>
      <c r="E261" s="57"/>
      <c r="F261" s="52"/>
    </row>
    <row r="262" spans="3:6" ht="13.5" customHeight="1" x14ac:dyDescent="0.25">
      <c r="C262" s="56"/>
      <c r="D262" s="50"/>
      <c r="E262" s="57"/>
      <c r="F262" s="52"/>
    </row>
    <row r="263" spans="3:6" ht="13.5" customHeight="1" x14ac:dyDescent="0.25">
      <c r="C263" s="56"/>
      <c r="D263" s="50"/>
      <c r="E263" s="57"/>
      <c r="F263" s="52"/>
    </row>
    <row r="264" spans="3:6" ht="13.5" customHeight="1" x14ac:dyDescent="0.25">
      <c r="C264" s="56"/>
      <c r="D264" s="50"/>
      <c r="E264" s="57"/>
      <c r="F264" s="52"/>
    </row>
    <row r="265" spans="3:6" ht="13.5" customHeight="1" x14ac:dyDescent="0.25">
      <c r="C265" s="56"/>
      <c r="D265" s="50"/>
      <c r="E265" s="57"/>
      <c r="F265" s="52"/>
    </row>
    <row r="266" spans="3:6" ht="13.5" customHeight="1" x14ac:dyDescent="0.25">
      <c r="C266" s="56"/>
      <c r="D266" s="50"/>
      <c r="E266" s="57"/>
      <c r="F266" s="52"/>
    </row>
    <row r="267" spans="3:6" ht="13.5" customHeight="1" x14ac:dyDescent="0.25">
      <c r="C267" s="56"/>
      <c r="D267" s="50"/>
      <c r="E267" s="57"/>
      <c r="F267" s="52"/>
    </row>
    <row r="268" spans="3:6" ht="13.5" customHeight="1" x14ac:dyDescent="0.25">
      <c r="C268" s="56"/>
      <c r="D268" s="50"/>
      <c r="E268" s="57"/>
      <c r="F268" s="52"/>
    </row>
    <row r="269" spans="3:6" ht="13.5" customHeight="1" x14ac:dyDescent="0.25">
      <c r="C269" s="56"/>
      <c r="D269" s="50"/>
      <c r="E269" s="57"/>
      <c r="F269" s="52"/>
    </row>
    <row r="270" spans="3:6" ht="13.5" customHeight="1" x14ac:dyDescent="0.25">
      <c r="C270" s="56"/>
      <c r="D270" s="50"/>
      <c r="E270" s="57"/>
      <c r="F270" s="52"/>
    </row>
    <row r="271" spans="3:6" ht="13.5" customHeight="1" x14ac:dyDescent="0.25">
      <c r="C271" s="56"/>
      <c r="D271" s="50"/>
      <c r="E271" s="57"/>
      <c r="F271" s="52"/>
    </row>
    <row r="272" spans="3:6" ht="13.5" customHeight="1" x14ac:dyDescent="0.25">
      <c r="C272" s="56"/>
      <c r="D272" s="50"/>
      <c r="E272" s="57"/>
      <c r="F272" s="52"/>
    </row>
    <row r="273" spans="3:6" ht="13.5" customHeight="1" x14ac:dyDescent="0.25">
      <c r="C273" s="56"/>
      <c r="D273" s="50"/>
      <c r="E273" s="57"/>
      <c r="F273" s="52"/>
    </row>
    <row r="274" spans="3:6" ht="13.5" customHeight="1" x14ac:dyDescent="0.25">
      <c r="C274" s="56"/>
      <c r="D274" s="50"/>
      <c r="E274" s="57"/>
      <c r="F274" s="52"/>
    </row>
    <row r="275" spans="3:6" ht="13.5" customHeight="1" x14ac:dyDescent="0.25">
      <c r="C275" s="56"/>
      <c r="D275" s="50"/>
      <c r="E275" s="57"/>
      <c r="F275" s="52"/>
    </row>
    <row r="276" spans="3:6" ht="13.5" customHeight="1" x14ac:dyDescent="0.25">
      <c r="C276" s="56"/>
      <c r="D276" s="50"/>
      <c r="E276" s="57"/>
      <c r="F276" s="52"/>
    </row>
    <row r="277" spans="3:6" ht="13.5" customHeight="1" x14ac:dyDescent="0.25">
      <c r="C277" s="56"/>
      <c r="D277" s="50"/>
      <c r="E277" s="57"/>
      <c r="F277" s="52"/>
    </row>
    <row r="278" spans="3:6" ht="13.5" customHeight="1" x14ac:dyDescent="0.25">
      <c r="C278" s="56"/>
      <c r="D278" s="50"/>
      <c r="E278" s="57"/>
      <c r="F278" s="52"/>
    </row>
    <row r="279" spans="3:6" ht="13.5" customHeight="1" x14ac:dyDescent="0.25">
      <c r="C279" s="56"/>
      <c r="D279" s="50"/>
      <c r="E279" s="57"/>
      <c r="F279" s="52"/>
    </row>
    <row r="280" spans="3:6" ht="13.5" customHeight="1" x14ac:dyDescent="0.25">
      <c r="C280" s="56"/>
      <c r="D280" s="50"/>
      <c r="E280" s="57"/>
      <c r="F280" s="52"/>
    </row>
    <row r="281" spans="3:6" ht="13.5" customHeight="1" x14ac:dyDescent="0.25">
      <c r="C281" s="56"/>
      <c r="D281" s="50"/>
      <c r="E281" s="57"/>
      <c r="F281" s="52"/>
    </row>
    <row r="282" spans="3:6" ht="13.5" customHeight="1" x14ac:dyDescent="0.25">
      <c r="C282" s="56"/>
      <c r="D282" s="50"/>
      <c r="E282" s="57"/>
      <c r="F282" s="52"/>
    </row>
    <row r="283" spans="3:6" ht="13.5" customHeight="1" x14ac:dyDescent="0.25">
      <c r="C283" s="56"/>
      <c r="D283" s="50"/>
      <c r="E283" s="57"/>
      <c r="F283" s="52"/>
    </row>
    <row r="284" spans="3:6" ht="13.5" customHeight="1" x14ac:dyDescent="0.25">
      <c r="C284" s="56"/>
      <c r="D284" s="50"/>
      <c r="E284" s="57"/>
      <c r="F284" s="52"/>
    </row>
    <row r="285" spans="3:6" ht="13.5" customHeight="1" x14ac:dyDescent="0.25">
      <c r="C285" s="56"/>
      <c r="D285" s="50"/>
      <c r="E285" s="57"/>
      <c r="F285" s="52"/>
    </row>
    <row r="286" spans="3:6" ht="13.5" customHeight="1" x14ac:dyDescent="0.25">
      <c r="C286" s="56"/>
      <c r="D286" s="50"/>
      <c r="E286" s="57"/>
      <c r="F286" s="52"/>
    </row>
    <row r="287" spans="3:6" ht="13.5" customHeight="1" x14ac:dyDescent="0.25">
      <c r="C287" s="56"/>
      <c r="D287" s="50"/>
      <c r="E287" s="57"/>
      <c r="F287" s="52"/>
    </row>
    <row r="288" spans="3:6" ht="13.5" customHeight="1" x14ac:dyDescent="0.25">
      <c r="C288" s="56"/>
      <c r="D288" s="50"/>
      <c r="E288" s="57"/>
      <c r="F288" s="52"/>
    </row>
    <row r="289" spans="3:6" ht="13.5" customHeight="1" x14ac:dyDescent="0.25">
      <c r="C289" s="56"/>
      <c r="D289" s="50"/>
      <c r="E289" s="57"/>
      <c r="F289" s="52"/>
    </row>
    <row r="290" spans="3:6" ht="13.5" customHeight="1" x14ac:dyDescent="0.25">
      <c r="C290" s="56"/>
      <c r="D290" s="50"/>
      <c r="E290" s="57"/>
      <c r="F290" s="52"/>
    </row>
    <row r="291" spans="3:6" ht="13.5" customHeight="1" x14ac:dyDescent="0.25">
      <c r="C291" s="56"/>
      <c r="D291" s="50"/>
      <c r="E291" s="57"/>
      <c r="F291" s="52"/>
    </row>
    <row r="292" spans="3:6" ht="13.5" customHeight="1" x14ac:dyDescent="0.25">
      <c r="C292" s="56"/>
      <c r="D292" s="50"/>
      <c r="E292" s="57"/>
      <c r="F292" s="52"/>
    </row>
    <row r="293" spans="3:6" ht="13.5" customHeight="1" x14ac:dyDescent="0.25">
      <c r="C293" s="56"/>
      <c r="D293" s="50"/>
      <c r="E293" s="57"/>
      <c r="F293" s="52"/>
    </row>
    <row r="294" spans="3:6" ht="13.5" customHeight="1" x14ac:dyDescent="0.25">
      <c r="C294" s="56"/>
      <c r="D294" s="50"/>
      <c r="E294" s="57"/>
      <c r="F294" s="52"/>
    </row>
    <row r="295" spans="3:6" ht="13.5" customHeight="1" x14ac:dyDescent="0.25">
      <c r="C295" s="56"/>
      <c r="D295" s="50"/>
      <c r="E295" s="57"/>
      <c r="F295" s="52"/>
    </row>
    <row r="296" spans="3:6" ht="13.5" customHeight="1" x14ac:dyDescent="0.25">
      <c r="C296" s="56"/>
      <c r="D296" s="50"/>
      <c r="E296" s="57"/>
      <c r="F296" s="52"/>
    </row>
    <row r="297" spans="3:6" ht="13.5" customHeight="1" x14ac:dyDescent="0.25">
      <c r="C297" s="56"/>
      <c r="D297" s="50"/>
      <c r="E297" s="57"/>
      <c r="F297" s="52"/>
    </row>
    <row r="298" spans="3:6" ht="13.5" customHeight="1" x14ac:dyDescent="0.25">
      <c r="C298" s="56"/>
      <c r="D298" s="50"/>
      <c r="E298" s="57"/>
      <c r="F298" s="52"/>
    </row>
    <row r="299" spans="3:6" ht="13.5" customHeight="1" x14ac:dyDescent="0.25">
      <c r="C299" s="56"/>
      <c r="D299" s="50"/>
      <c r="E299" s="57"/>
      <c r="F299" s="52"/>
    </row>
    <row r="300" spans="3:6" ht="13.5" customHeight="1" x14ac:dyDescent="0.25">
      <c r="C300" s="56"/>
      <c r="D300" s="50"/>
      <c r="E300" s="57"/>
      <c r="F300" s="52"/>
    </row>
    <row r="301" spans="3:6" ht="13.5" customHeight="1" x14ac:dyDescent="0.25">
      <c r="C301" s="56"/>
      <c r="D301" s="50"/>
      <c r="E301" s="57"/>
      <c r="F301" s="52"/>
    </row>
    <row r="302" spans="3:6" ht="13.5" customHeight="1" x14ac:dyDescent="0.25">
      <c r="C302" s="56"/>
      <c r="D302" s="50"/>
      <c r="E302" s="57"/>
      <c r="F302" s="52"/>
    </row>
    <row r="303" spans="3:6" ht="13.5" customHeight="1" x14ac:dyDescent="0.25">
      <c r="C303" s="56"/>
      <c r="D303" s="50"/>
      <c r="E303" s="57"/>
      <c r="F303" s="52"/>
    </row>
    <row r="304" spans="3:6" ht="13.5" customHeight="1" x14ac:dyDescent="0.25">
      <c r="C304" s="56"/>
      <c r="D304" s="50"/>
      <c r="E304" s="57"/>
      <c r="F304" s="52"/>
    </row>
  </sheetData>
  <autoFilter ref="C6:F10" xr:uid="{00000000-0009-0000-0000-00000A000000}"/>
  <mergeCells count="2">
    <mergeCell ref="C3:F3"/>
    <mergeCell ref="C4:F4"/>
  </mergeCells>
  <dataValidations count="1">
    <dataValidation type="list" allowBlank="1" sqref="D7:D304" xr:uid="{00000000-0002-0000-0A00-000000000000}">
      <formula1>"Alimentação,Transporte,Lazer,Saúde,Educação,Assinaturas/Celular,Outros,Reserva de Emergência"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G16"/>
  <sheetViews>
    <sheetView showGridLines="0" tabSelected="1" topLeftCell="B1" zoomScale="92" zoomScaleNormal="92" workbookViewId="0">
      <selection activeCell="E21" sqref="E21"/>
    </sheetView>
  </sheetViews>
  <sheetFormatPr defaultColWidth="8.6640625" defaultRowHeight="13.8" x14ac:dyDescent="0.25"/>
  <cols>
    <col min="1" max="2" width="8.6640625" style="2"/>
    <col min="3" max="3" width="29.109375" style="2" customWidth="1"/>
    <col min="4" max="6" width="16" style="2" customWidth="1"/>
    <col min="7" max="7" width="16.33203125" style="2" customWidth="1"/>
    <col min="8" max="16384" width="8.6640625" style="2"/>
  </cols>
  <sheetData>
    <row r="3" spans="3:7" ht="23.25" customHeight="1" x14ac:dyDescent="0.4">
      <c r="C3" s="40" t="s">
        <v>29</v>
      </c>
      <c r="D3" s="40"/>
      <c r="E3" s="40"/>
      <c r="F3" s="40"/>
      <c r="G3" s="40"/>
    </row>
    <row r="5" spans="3:7" ht="13.5" customHeight="1" x14ac:dyDescent="0.25">
      <c r="C5" s="33" t="s">
        <v>44</v>
      </c>
      <c r="D5" s="60">
        <v>2308</v>
      </c>
    </row>
    <row r="7" spans="3:7" ht="15" customHeight="1" x14ac:dyDescent="0.25">
      <c r="C7" s="34" t="s">
        <v>21</v>
      </c>
      <c r="D7" s="34" t="s">
        <v>30</v>
      </c>
      <c r="E7" s="34" t="s">
        <v>31</v>
      </c>
      <c r="F7" s="34" t="s">
        <v>32</v>
      </c>
      <c r="G7" s="34" t="s">
        <v>33</v>
      </c>
    </row>
    <row r="8" spans="3:7" ht="14.25" customHeight="1" x14ac:dyDescent="0.3">
      <c r="C8" s="35" t="s">
        <v>24</v>
      </c>
      <c r="D8" s="17">
        <v>740</v>
      </c>
      <c r="E8" s="17">
        <f>SUMIF('Gastos diários'!D:D,C8,'Gastos diários'!F:F)</f>
        <v>390.5</v>
      </c>
      <c r="F8" s="17">
        <f>IFERROR(D8-E8,"")</f>
        <v>349.5</v>
      </c>
      <c r="G8" s="36" t="str">
        <f>IF(E8&gt;D8,"Negativo","Ok")</f>
        <v>Ok</v>
      </c>
    </row>
    <row r="9" spans="3:7" ht="14.25" customHeight="1" x14ac:dyDescent="0.3">
      <c r="C9" s="35" t="s">
        <v>25</v>
      </c>
      <c r="D9" s="17">
        <v>470</v>
      </c>
      <c r="E9" s="17">
        <f>SUMIF('Gastos diários'!D:D,C9,'Gastos diários'!F:F)</f>
        <v>180</v>
      </c>
      <c r="F9" s="17">
        <f>IFERROR(D9-E9,"")</f>
        <v>290</v>
      </c>
      <c r="G9" s="36" t="str">
        <f>IF(E9&gt;D9,"Negativo","Ok")</f>
        <v>Ok</v>
      </c>
    </row>
    <row r="10" spans="3:7" ht="14.25" customHeight="1" x14ac:dyDescent="0.3">
      <c r="C10" s="35" t="s">
        <v>27</v>
      </c>
      <c r="D10" s="17">
        <v>200</v>
      </c>
      <c r="E10" s="17">
        <f>SUMIF('Gastos diários'!D:D,C10,'Gastos diários'!F:F)</f>
        <v>270</v>
      </c>
      <c r="F10" s="17">
        <f>IFERROR(D10-E10,"")</f>
        <v>-70</v>
      </c>
      <c r="G10" s="36" t="str">
        <f>IF(E10&gt;D10,"Negativo","Ok")</f>
        <v>Negativo</v>
      </c>
    </row>
    <row r="11" spans="3:7" ht="14.25" customHeight="1" x14ac:dyDescent="0.3">
      <c r="C11" s="35" t="s">
        <v>26</v>
      </c>
      <c r="D11" s="17">
        <v>560</v>
      </c>
      <c r="E11" s="17">
        <f>SUMIF('Gastos diários'!D:D,C11,'Gastos diários'!F:F)</f>
        <v>195</v>
      </c>
      <c r="F11" s="17">
        <f>IFERROR(D11-E11,"")</f>
        <v>365</v>
      </c>
      <c r="G11" s="36" t="str">
        <f>IF(E11&gt;D11,"Negativo","Ok")</f>
        <v>Ok</v>
      </c>
    </row>
    <row r="12" spans="3:7" ht="14.25" customHeight="1" x14ac:dyDescent="0.3">
      <c r="C12" s="35" t="s">
        <v>28</v>
      </c>
      <c r="D12" s="17">
        <v>338</v>
      </c>
      <c r="E12" s="17">
        <f>SUMIF('Gastos diários'!D:D,C12,'Gastos diários'!F:F)</f>
        <v>90</v>
      </c>
      <c r="F12" s="17">
        <f>IFERROR(D12-E12,"")</f>
        <v>248</v>
      </c>
      <c r="G12" s="36" t="str">
        <f>IF(E12&gt;D12,"Negativo","Ok")</f>
        <v>Ok</v>
      </c>
    </row>
    <row r="13" spans="3:7" ht="13.5" customHeight="1" x14ac:dyDescent="0.25">
      <c r="C13" s="37" t="s">
        <v>34</v>
      </c>
      <c r="D13" s="38">
        <f>SUM(D8:D12)</f>
        <v>2308</v>
      </c>
      <c r="E13" s="38">
        <f>SUM(E8:E12)</f>
        <v>1125.5</v>
      </c>
      <c r="F13" s="38">
        <f>SUM(F8:F12)</f>
        <v>1182.5</v>
      </c>
      <c r="G13" s="4"/>
    </row>
    <row r="15" spans="3:7" ht="13.5" customHeight="1" x14ac:dyDescent="0.25">
      <c r="C15" s="41"/>
      <c r="D15" s="41">
        <f>D13-D14</f>
        <v>2308</v>
      </c>
      <c r="E15" s="41">
        <f>E13-E14</f>
        <v>1125.5</v>
      </c>
    </row>
    <row r="16" spans="3:7" x14ac:dyDescent="0.25">
      <c r="C16" s="2" t="s">
        <v>47</v>
      </c>
      <c r="D16" s="39">
        <f>F13</f>
        <v>1182.5</v>
      </c>
    </row>
  </sheetData>
  <mergeCells count="2">
    <mergeCell ref="C3:G3"/>
    <mergeCell ref="C15:E15"/>
  </mergeCells>
  <conditionalFormatting sqref="F8:F12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Renda Julho</vt:lpstr>
      <vt:lpstr>Renda Agosto</vt:lpstr>
      <vt:lpstr>Renda Setembro</vt:lpstr>
      <vt:lpstr>Renda Outubro</vt:lpstr>
      <vt:lpstr>Renda Novembro</vt:lpstr>
      <vt:lpstr>Renda Dezembro</vt:lpstr>
      <vt:lpstr>Renda Janeiro</vt:lpstr>
      <vt:lpstr>Renda Fevereiro</vt:lpstr>
      <vt:lpstr>Renda Março</vt:lpstr>
      <vt:lpstr>Renda Abril</vt:lpstr>
      <vt:lpstr>Gastos diários</vt:lpstr>
      <vt:lpstr>Gastos totais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valentina rodrigues</cp:lastModifiedBy>
  <cp:revision>5</cp:revision>
  <dcterms:created xsi:type="dcterms:W3CDTF">2026-07-02T17:21:11Z</dcterms:created>
  <dcterms:modified xsi:type="dcterms:W3CDTF">2026-07-15T02:07:03Z</dcterms:modified>
  <dc:language>en-US</dc:language>
</cp:coreProperties>
</file>